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xr:revisionPtr revIDLastSave="272" documentId="11_C233A0BABB40AD0F97E819E7E0BCBE8359B1E8BC" xr6:coauthVersionLast="47" xr6:coauthVersionMax="47" xr10:uidLastSave="{FD075DE7-747C-4D37-84B3-A0E37B099192}"/>
  <bookViews>
    <workbookView xWindow="0" yWindow="0" windowWidth="0" windowHeight="0" xr2:uid="{00000000-000D-0000-FFFF-FFFF00000000}"/>
  </bookViews>
  <sheets>
    <sheet name="About this file" sheetId="1" r:id="rId1"/>
    <sheet name="Initiatives" sheetId="2" r:id="rId2"/>
    <sheet name="Members" sheetId="3" r:id="rId3"/>
    <sheet name="Monthly KPI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5" i="4" l="1"/>
  <c r="G25" i="4"/>
  <c r="F25" i="4"/>
  <c r="D25" i="4"/>
  <c r="B25" i="4"/>
  <c r="H24" i="4"/>
  <c r="G24" i="4"/>
  <c r="F24" i="4"/>
  <c r="D24" i="4"/>
  <c r="B24" i="4"/>
  <c r="H23" i="4"/>
  <c r="G23" i="4"/>
  <c r="F23" i="4"/>
  <c r="D23" i="4"/>
  <c r="B23" i="4"/>
  <c r="H22" i="4"/>
  <c r="G22" i="4"/>
  <c r="F22" i="4"/>
  <c r="D22" i="4"/>
  <c r="B22" i="4"/>
  <c r="H21" i="4"/>
  <c r="G21" i="4"/>
  <c r="F21" i="4"/>
  <c r="D21" i="4"/>
  <c r="B21" i="4"/>
  <c r="H20" i="4"/>
  <c r="G20" i="4"/>
  <c r="F20" i="4"/>
  <c r="D20" i="4"/>
  <c r="B20" i="4"/>
  <c r="H19" i="4"/>
  <c r="G19" i="4"/>
  <c r="F19" i="4"/>
  <c r="D19" i="4"/>
  <c r="B19" i="4"/>
  <c r="H18" i="4"/>
  <c r="G18" i="4"/>
  <c r="F18" i="4"/>
  <c r="D18" i="4"/>
  <c r="B18" i="4"/>
  <c r="H17" i="4"/>
  <c r="G17" i="4"/>
  <c r="F17" i="4"/>
  <c r="D17" i="4"/>
  <c r="B17" i="4"/>
  <c r="H16" i="4"/>
  <c r="G16" i="4"/>
  <c r="F16" i="4"/>
  <c r="D16" i="4"/>
  <c r="B16" i="4"/>
  <c r="H15" i="4"/>
  <c r="G15" i="4"/>
  <c r="F15" i="4"/>
  <c r="D15" i="4"/>
  <c r="B15" i="4"/>
  <c r="H14" i="4"/>
  <c r="G14" i="4"/>
  <c r="F14" i="4"/>
  <c r="D14" i="4"/>
  <c r="B14" i="4"/>
  <c r="H13" i="4"/>
  <c r="G13" i="4"/>
  <c r="F13" i="4"/>
  <c r="D13" i="4"/>
  <c r="B13" i="4"/>
  <c r="H12" i="4"/>
  <c r="G12" i="4"/>
  <c r="F12" i="4"/>
  <c r="D12" i="4"/>
  <c r="B12" i="4"/>
  <c r="H11" i="4"/>
  <c r="G11" i="4"/>
  <c r="F11" i="4"/>
  <c r="D11" i="4"/>
  <c r="B11" i="4"/>
  <c r="H10" i="4"/>
  <c r="G10" i="4"/>
  <c r="F10" i="4"/>
  <c r="D10" i="4"/>
  <c r="B10" i="4"/>
  <c r="H9" i="4"/>
  <c r="G9" i="4"/>
  <c r="F9" i="4"/>
  <c r="D9" i="4"/>
  <c r="B9" i="4"/>
  <c r="H8" i="4"/>
  <c r="G8" i="4"/>
  <c r="F8" i="4"/>
  <c r="D8" i="4"/>
  <c r="B8" i="4"/>
  <c r="H7" i="4"/>
  <c r="G7" i="4"/>
  <c r="F7" i="4"/>
  <c r="D7" i="4"/>
  <c r="B7" i="4"/>
  <c r="H6" i="4"/>
  <c r="G6" i="4"/>
  <c r="F6" i="4"/>
  <c r="D6" i="4"/>
  <c r="B6" i="4"/>
  <c r="H5" i="4"/>
  <c r="G5" i="4"/>
  <c r="F5" i="4"/>
  <c r="D5" i="4"/>
  <c r="B5" i="4"/>
  <c r="H4" i="4"/>
  <c r="G4" i="4"/>
  <c r="F4" i="4"/>
  <c r="D4" i="4"/>
  <c r="B4" i="4"/>
  <c r="H3" i="4"/>
  <c r="G3" i="4"/>
  <c r="F3" i="4"/>
  <c r="D3" i="4"/>
  <c r="B3" i="4"/>
  <c r="H2" i="4"/>
  <c r="G2" i="4"/>
  <c r="F2" i="4"/>
  <c r="D2" i="4"/>
  <c r="B2" i="4"/>
</calcChain>
</file>

<file path=xl/sharedStrings.xml><?xml version="1.0" encoding="utf-8"?>
<sst xmlns="http://schemas.openxmlformats.org/spreadsheetml/2006/main" count="2606" uniqueCount="528">
  <si>
    <t>EHS Youth Council - Activity Practice Data</t>
  </si>
  <si>
    <t>Synthetic 24-month record of Youth Council initiatives, members and monthly KPIs (Oct 2024 - Sep 2026), built for hands-on Copilot Analyst practice.</t>
  </si>
  <si>
    <t>Illustrative synthetic data created for a Microsoft 365 Copilot practice session. This is NOT real Emirates Health Services data and must not be used for any operational, clinical or reporting purpose.</t>
  </si>
  <si>
    <t>Workshop: Emirates Health Services Youth Council - Microsoft 365 Copilot practice session - 8 October 2026</t>
  </si>
  <si>
    <t>Sheet</t>
  </si>
  <si>
    <t>Rows</t>
  </si>
  <si>
    <t>Columns</t>
  </si>
  <si>
    <t>What it contains</t>
  </si>
  <si>
    <t>Initiatives</t>
  </si>
  <si>
    <t>One row per initiative activity across 24 months: programme, category, emirate, facility, registration vs attendance, volunteer hours, satisfaction score, budget vs actual spend and status.</t>
  </si>
  <si>
    <t>Members</t>
  </si>
  <si>
    <t>One row per council member: department, emirate, role level, initiatives led and joined, volunteer and training hours year to date, and whether the member is currently active.</t>
  </si>
  <si>
    <t>Monthly KPIs</t>
  </si>
  <si>
    <t>One row per month Oct 2024 - Sep 2026: initiatives delivered vs target, participants, volunteer hours, average satisfaction, budget utilisation and social reach. Calculated live from the Initiatives sheet.</t>
  </si>
  <si>
    <t>Data quality: this is an unvalidated extract. Blanks and outliers have not been cleaned - check any figure before you rely on it.</t>
  </si>
  <si>
    <t>Generated 16 September 2026 for the EHS Youth Council Copilot workshop. All names, IDs and values are invented; no real person, patient or employee data is included.</t>
  </si>
  <si>
    <t>Activity ID</t>
  </si>
  <si>
    <t>Date</t>
  </si>
  <si>
    <t>Initiative Name</t>
  </si>
  <si>
    <t>Programme</t>
  </si>
  <si>
    <t>Category</t>
  </si>
  <si>
    <t>Emirate</t>
  </si>
  <si>
    <t>Facility</t>
  </si>
  <si>
    <t>Participants Registered</t>
  </si>
  <si>
    <t>Participants Attended</t>
  </si>
  <si>
    <t>Volunteer Hours</t>
  </si>
  <si>
    <t>Satisfaction Score</t>
  </si>
  <si>
    <t>Budget AED</t>
  </si>
  <si>
    <t>Actual Spend AED</t>
  </si>
  <si>
    <t>Status</t>
  </si>
  <si>
    <t>YC-0001</t>
  </si>
  <si>
    <t>Ramadan Iftar Packing</t>
  </si>
  <si>
    <t>Oun Volunteering</t>
  </si>
  <si>
    <t>Volunteering</t>
  </si>
  <si>
    <t>Dubai</t>
  </si>
  <si>
    <t>Al Barsha Health Center</t>
  </si>
  <si>
    <t>Completed</t>
  </si>
  <si>
    <t>YC-0002</t>
  </si>
  <si>
    <t>Mental Health Awareness Week</t>
  </si>
  <si>
    <t>Sawtak Wasel</t>
  </si>
  <si>
    <t>Campaign</t>
  </si>
  <si>
    <t>Kuwait Hospital Dubai</t>
  </si>
  <si>
    <t>YC-0003</t>
  </si>
  <si>
    <t>Council Networking Evening</t>
  </si>
  <si>
    <t>Youth Voice</t>
  </si>
  <si>
    <t>Event</t>
  </si>
  <si>
    <t>Training &amp; Development Centre</t>
  </si>
  <si>
    <t>YC-0004</t>
  </si>
  <si>
    <t>Quality Poster Contest</t>
  </si>
  <si>
    <t>Innovation Lab</t>
  </si>
  <si>
    <t>Competition</t>
  </si>
  <si>
    <t>Fujairah</t>
  </si>
  <si>
    <t>Dibba Al Fujairah Health Center</t>
  </si>
  <si>
    <t>YC-0005</t>
  </si>
  <si>
    <t>Breast Cancer Awareness Walk</t>
  </si>
  <si>
    <t>Ras Al Khaimah</t>
  </si>
  <si>
    <t>Shaam Health Center</t>
  </si>
  <si>
    <t>YC-0006</t>
  </si>
  <si>
    <t>Career Pathways Circle</t>
  </si>
  <si>
    <t>Nomu</t>
  </si>
  <si>
    <t>Mentoring</t>
  </si>
  <si>
    <t>YC-0007</t>
  </si>
  <si>
    <t>Emotional Intelligence Session</t>
  </si>
  <si>
    <t>Workshop</t>
  </si>
  <si>
    <t>Sharjah</t>
  </si>
  <si>
    <t>Kalba Hospital</t>
  </si>
  <si>
    <t>YC-0008</t>
  </si>
  <si>
    <t>Diabetes Screening Campaign</t>
  </si>
  <si>
    <t>YC-0009</t>
  </si>
  <si>
    <t>YC-0010</t>
  </si>
  <si>
    <t>Fujairah Hospital</t>
  </si>
  <si>
    <t>YC-0011</t>
  </si>
  <si>
    <t>Design Thinking Basics</t>
  </si>
  <si>
    <t>YC-0012</t>
  </si>
  <si>
    <t>Child Vaccination Push</t>
  </si>
  <si>
    <t>YC-0013</t>
  </si>
  <si>
    <t>Wellbeing at Work</t>
  </si>
  <si>
    <t>Ajman</t>
  </si>
  <si>
    <t>Al Madinah Health Center</t>
  </si>
  <si>
    <t>YC-0014</t>
  </si>
  <si>
    <t>Town Hall with Leadership</t>
  </si>
  <si>
    <t>YC-0015</t>
  </si>
  <si>
    <t>Mentorship</t>
  </si>
  <si>
    <t>Al Dhaid Health Center</t>
  </si>
  <si>
    <t>YC-0016</t>
  </si>
  <si>
    <t>Patient Safety Essentials</t>
  </si>
  <si>
    <t>Umm Al Quwain</t>
  </si>
  <si>
    <t>Umm Al Quwain Hospital</t>
  </si>
  <si>
    <t>YC-0017</t>
  </si>
  <si>
    <t>Ras Al Khaimah Hospital</t>
  </si>
  <si>
    <t>YC-0018</t>
  </si>
  <si>
    <t>YC-0019</t>
  </si>
  <si>
    <t>Anti-Smoking Campaign</t>
  </si>
  <si>
    <t>Al Salamah Health Center</t>
  </si>
  <si>
    <t>YC-0020</t>
  </si>
  <si>
    <t>Prompting for Beginners</t>
  </si>
  <si>
    <t>YC-0021</t>
  </si>
  <si>
    <t>Digital Solution Pitch-Off</t>
  </si>
  <si>
    <t>Khalifa Hospital Ajman</t>
  </si>
  <si>
    <t>YC-0022</t>
  </si>
  <si>
    <t>Al Nakheel Health Center</t>
  </si>
  <si>
    <t>YC-0023</t>
  </si>
  <si>
    <t>Best Improvement Idea Award</t>
  </si>
  <si>
    <t>YC-0024</t>
  </si>
  <si>
    <t>Emirati Women's Day Event</t>
  </si>
  <si>
    <t>Recognition</t>
  </si>
  <si>
    <t>YC-0025</t>
  </si>
  <si>
    <t>YC-0026</t>
  </si>
  <si>
    <t>Youth Council Open Forum</t>
  </si>
  <si>
    <t>Al Qassimi Hospital</t>
  </si>
  <si>
    <t>YC-0027</t>
  </si>
  <si>
    <t>Shadow a Leader Day</t>
  </si>
  <si>
    <t>YC-0028</t>
  </si>
  <si>
    <t>YC-0029</t>
  </si>
  <si>
    <t>YC-0030</t>
  </si>
  <si>
    <t>AI in Healthcare Primer</t>
  </si>
  <si>
    <t>YC-0031</t>
  </si>
  <si>
    <t>YC-0032</t>
  </si>
  <si>
    <t>Financial Literacy Session</t>
  </si>
  <si>
    <t>YC-0033</t>
  </si>
  <si>
    <t>YC-0034</t>
  </si>
  <si>
    <t>Public Speaking Lab</t>
  </si>
  <si>
    <t>YC-0035</t>
  </si>
  <si>
    <t>Annual Recognition Ceremony</t>
  </si>
  <si>
    <t>YC-0036</t>
  </si>
  <si>
    <t>Data Storytelling Clinic</t>
  </si>
  <si>
    <t>YC-0037</t>
  </si>
  <si>
    <t>YC-0038</t>
  </si>
  <si>
    <t>YC-0039</t>
  </si>
  <si>
    <t>YC-0040</t>
  </si>
  <si>
    <t>YC-0041</t>
  </si>
  <si>
    <t>YC-0042</t>
  </si>
  <si>
    <t>YC-0043</t>
  </si>
  <si>
    <t>School Health Outreach</t>
  </si>
  <si>
    <t>YC-0044</t>
  </si>
  <si>
    <t>YC-0045</t>
  </si>
  <si>
    <t>Hydration Awareness Drive</t>
  </si>
  <si>
    <t>Masafi Health Center</t>
  </si>
  <si>
    <t>YC-0046</t>
  </si>
  <si>
    <t>YC-0047</t>
  </si>
  <si>
    <t>YC-0048</t>
  </si>
  <si>
    <t>YC-0049</t>
  </si>
  <si>
    <t>YC-0050</t>
  </si>
  <si>
    <t>Beach Clean-Up with Patients' Families</t>
  </si>
  <si>
    <t>YC-0051</t>
  </si>
  <si>
    <t>Project Management Sprint</t>
  </si>
  <si>
    <t>YC-0052</t>
  </si>
  <si>
    <t>New Joiner Buddy Session</t>
  </si>
  <si>
    <t>Cancelled</t>
  </si>
  <si>
    <t>YC-0053</t>
  </si>
  <si>
    <t>Blood Drive Support Crew</t>
  </si>
  <si>
    <t>YC-0054</t>
  </si>
  <si>
    <t>YC-0055</t>
  </si>
  <si>
    <t>YC-0056</t>
  </si>
  <si>
    <t>YC-0057</t>
  </si>
  <si>
    <t>YC-0058</t>
  </si>
  <si>
    <t>YC-0059</t>
  </si>
  <si>
    <t>YC-0060</t>
  </si>
  <si>
    <t>YC-0061</t>
  </si>
  <si>
    <t>Quarterly Council Assembly</t>
  </si>
  <si>
    <t>YC-0062</t>
  </si>
  <si>
    <t>YC-0063</t>
  </si>
  <si>
    <t>YC-0064</t>
  </si>
  <si>
    <t>Reverse Mentoring Session</t>
  </si>
  <si>
    <t>YC-0065</t>
  </si>
  <si>
    <t>Hackathon for Patient Flow</t>
  </si>
  <si>
    <t>YC-0066</t>
  </si>
  <si>
    <t>YC-0067</t>
  </si>
  <si>
    <t>Leadership Coffee Chat</t>
  </si>
  <si>
    <t>YC-0068</t>
  </si>
  <si>
    <t>Report Writing Clinic</t>
  </si>
  <si>
    <t>YC-0069</t>
  </si>
  <si>
    <t>YC-0070</t>
  </si>
  <si>
    <t>YC-0071</t>
  </si>
  <si>
    <t>YC-0072</t>
  </si>
  <si>
    <t>YC-0073</t>
  </si>
  <si>
    <t>YC-0074</t>
  </si>
  <si>
    <t>YC-0075</t>
  </si>
  <si>
    <t>YC-0076</t>
  </si>
  <si>
    <t>Service Design Sprint Final</t>
  </si>
  <si>
    <t>YC-0077</t>
  </si>
  <si>
    <t>YC-0078</t>
  </si>
  <si>
    <t>Senior Care Visit</t>
  </si>
  <si>
    <t>YC-0079</t>
  </si>
  <si>
    <t>YC-0080</t>
  </si>
  <si>
    <t>YC-0081</t>
  </si>
  <si>
    <t>Community Clinic Support Day</t>
  </si>
  <si>
    <t>YC-0082</t>
  </si>
  <si>
    <t>YC-0083</t>
  </si>
  <si>
    <t>YC-0084</t>
  </si>
  <si>
    <t>YC-0085</t>
  </si>
  <si>
    <t>YC-0086</t>
  </si>
  <si>
    <t>YC-0087</t>
  </si>
  <si>
    <t>YC-0088</t>
  </si>
  <si>
    <t>YC-0089</t>
  </si>
  <si>
    <t>YC-0090</t>
  </si>
  <si>
    <t>YC-0091</t>
  </si>
  <si>
    <t>YC-0092</t>
  </si>
  <si>
    <t>YC-0093</t>
  </si>
  <si>
    <t>Healthy Heart Awareness Drive</t>
  </si>
  <si>
    <t>YC-0094</t>
  </si>
  <si>
    <t>National Day Celebration</t>
  </si>
  <si>
    <t>YC-0095</t>
  </si>
  <si>
    <t>YC-0096</t>
  </si>
  <si>
    <t>Emergency Ward Companion Shift</t>
  </si>
  <si>
    <t>YC-0097</t>
  </si>
  <si>
    <t>YC-0098</t>
  </si>
  <si>
    <t>YC-0099</t>
  </si>
  <si>
    <t>YC-0100</t>
  </si>
  <si>
    <t>Innovation Showcase</t>
  </si>
  <si>
    <t>YC-0101</t>
  </si>
  <si>
    <t>YC-0102</t>
  </si>
  <si>
    <t>YC-0103</t>
  </si>
  <si>
    <t>YC-0104</t>
  </si>
  <si>
    <t>Blood Donation Drive</t>
  </si>
  <si>
    <t>YC-0105</t>
  </si>
  <si>
    <t>YC-0106</t>
  </si>
  <si>
    <t>YC-0107</t>
  </si>
  <si>
    <t>YC-0108</t>
  </si>
  <si>
    <t>YC-0109</t>
  </si>
  <si>
    <t>YC-0110</t>
  </si>
  <si>
    <t>Winter Flu Awareness</t>
  </si>
  <si>
    <t>YC-0111</t>
  </si>
  <si>
    <t>YC-0112</t>
  </si>
  <si>
    <t>YC-0113</t>
  </si>
  <si>
    <t>Mentor Match Kick-off</t>
  </si>
  <si>
    <t>YC-0114</t>
  </si>
  <si>
    <t>YC-0115</t>
  </si>
  <si>
    <t>YC-0116</t>
  </si>
  <si>
    <t>Digital Skills Bootcamp</t>
  </si>
  <si>
    <t>YC-0117</t>
  </si>
  <si>
    <t>YC-0118</t>
  </si>
  <si>
    <t>YC-0119</t>
  </si>
  <si>
    <t>YC-0120</t>
  </si>
  <si>
    <t>YC-0121</t>
  </si>
  <si>
    <t>YC-0122</t>
  </si>
  <si>
    <t>YC-0123</t>
  </si>
  <si>
    <t>YC-0124</t>
  </si>
  <si>
    <t>YC-0125</t>
  </si>
  <si>
    <t>YC-0126</t>
  </si>
  <si>
    <t>YC-0127</t>
  </si>
  <si>
    <t>YC-0128</t>
  </si>
  <si>
    <t>YC-0129</t>
  </si>
  <si>
    <t>YC-0130</t>
  </si>
  <si>
    <t>YC-0131</t>
  </si>
  <si>
    <t>YC-0132</t>
  </si>
  <si>
    <t>YC-0133</t>
  </si>
  <si>
    <t>YC-0134</t>
  </si>
  <si>
    <t>YC-0135</t>
  </si>
  <si>
    <t>YC-0136</t>
  </si>
  <si>
    <t>YC-0137</t>
  </si>
  <si>
    <t>YC-0138</t>
  </si>
  <si>
    <t>YC-0139</t>
  </si>
  <si>
    <t>Youth Innovation Challenge</t>
  </si>
  <si>
    <t>YC-0140</t>
  </si>
  <si>
    <t>YC-0141</t>
  </si>
  <si>
    <t>YC-0142</t>
  </si>
  <si>
    <t>YC-0143</t>
  </si>
  <si>
    <t>YC-0144</t>
  </si>
  <si>
    <t>YC-0145</t>
  </si>
  <si>
    <t>YC-0146</t>
  </si>
  <si>
    <t>YC-0147</t>
  </si>
  <si>
    <t>YC-0148</t>
  </si>
  <si>
    <t>YC-0149</t>
  </si>
  <si>
    <t>YC-0150</t>
  </si>
  <si>
    <t>YC-0151</t>
  </si>
  <si>
    <t>YC-0152</t>
  </si>
  <si>
    <t>YC-0153</t>
  </si>
  <si>
    <t>YC-0154</t>
  </si>
  <si>
    <t>YC-0155</t>
  </si>
  <si>
    <t>YC-0156</t>
  </si>
  <si>
    <t>Food Parcel Distribution</t>
  </si>
  <si>
    <t>YC-0157</t>
  </si>
  <si>
    <t>YC-0158</t>
  </si>
  <si>
    <t>YC-0159</t>
  </si>
  <si>
    <t>YC-0160</t>
  </si>
  <si>
    <t>YC-0161</t>
  </si>
  <si>
    <t>YC-0162</t>
  </si>
  <si>
    <t>YC-0163</t>
  </si>
  <si>
    <t>YC-0164</t>
  </si>
  <si>
    <t>YC-0165</t>
  </si>
  <si>
    <t>YC-0166</t>
  </si>
  <si>
    <t>YC-0167</t>
  </si>
  <si>
    <t>YC-0168</t>
  </si>
  <si>
    <t>YC-0169</t>
  </si>
  <si>
    <t>YC-0170</t>
  </si>
  <si>
    <t>YC-0171</t>
  </si>
  <si>
    <t>YC-0172</t>
  </si>
  <si>
    <t>YC-0173</t>
  </si>
  <si>
    <t>YC-0174</t>
  </si>
  <si>
    <t>YC-0175</t>
  </si>
  <si>
    <t>YC-0176</t>
  </si>
  <si>
    <t>YC-0177</t>
  </si>
  <si>
    <t>YC-0178</t>
  </si>
  <si>
    <t>YC-0179</t>
  </si>
  <si>
    <t>YC-0180</t>
  </si>
  <si>
    <t>YC-0181</t>
  </si>
  <si>
    <t>YC-0182</t>
  </si>
  <si>
    <t>YC-0183</t>
  </si>
  <si>
    <t>YC-0184</t>
  </si>
  <si>
    <t>YC-0185</t>
  </si>
  <si>
    <t>YC-0186</t>
  </si>
  <si>
    <t>Winter Blanket Drive</t>
  </si>
  <si>
    <t>YC-0187</t>
  </si>
  <si>
    <t>YC-0188</t>
  </si>
  <si>
    <t>YC-0189</t>
  </si>
  <si>
    <t>YC-0190</t>
  </si>
  <si>
    <t>YC-0191</t>
  </si>
  <si>
    <t>YC-0192</t>
  </si>
  <si>
    <t>YC-0193</t>
  </si>
  <si>
    <t>YC-0194</t>
  </si>
  <si>
    <t>YC-0195</t>
  </si>
  <si>
    <t>YC-0196</t>
  </si>
  <si>
    <t>YC-0197</t>
  </si>
  <si>
    <t>YC-0198</t>
  </si>
  <si>
    <t>YC-0199</t>
  </si>
  <si>
    <t>YC-0200</t>
  </si>
  <si>
    <t>YC-0201</t>
  </si>
  <si>
    <t>YC-0202</t>
  </si>
  <si>
    <t>YC-0203</t>
  </si>
  <si>
    <t>YC-0204</t>
  </si>
  <si>
    <t>YC-0205</t>
  </si>
  <si>
    <t>YC-0206</t>
  </si>
  <si>
    <t>YC-0207</t>
  </si>
  <si>
    <t>YC-0208</t>
  </si>
  <si>
    <t>YC-0209</t>
  </si>
  <si>
    <t>YC-0210</t>
  </si>
  <si>
    <t>YC-0211</t>
  </si>
  <si>
    <t>YC-0212</t>
  </si>
  <si>
    <t>YC-0213</t>
  </si>
  <si>
    <t>YC-0214</t>
  </si>
  <si>
    <t>YC-0215</t>
  </si>
  <si>
    <t>YC-0216</t>
  </si>
  <si>
    <t>YC-0217</t>
  </si>
  <si>
    <t>YC-0218</t>
  </si>
  <si>
    <t>YC-0219</t>
  </si>
  <si>
    <t>YC-0220</t>
  </si>
  <si>
    <t>YC-0221</t>
  </si>
  <si>
    <t>YC-0222</t>
  </si>
  <si>
    <t>YC-0223</t>
  </si>
  <si>
    <t>YC-0224</t>
  </si>
  <si>
    <t>YC-0225</t>
  </si>
  <si>
    <t>YC-0226</t>
  </si>
  <si>
    <t>YC-0227</t>
  </si>
  <si>
    <t>YC-0228</t>
  </si>
  <si>
    <t>YC-0229</t>
  </si>
  <si>
    <t>YC-0230</t>
  </si>
  <si>
    <t>YC-0231</t>
  </si>
  <si>
    <t>YC-0232</t>
  </si>
  <si>
    <t>YC-0233</t>
  </si>
  <si>
    <t>YC-0234</t>
  </si>
  <si>
    <t>YC-0235</t>
  </si>
  <si>
    <t>YC-0236</t>
  </si>
  <si>
    <t>YC-0237</t>
  </si>
  <si>
    <t>YC-0238</t>
  </si>
  <si>
    <t>YC-0239</t>
  </si>
  <si>
    <t>YC-0240</t>
  </si>
  <si>
    <t>YC-0241</t>
  </si>
  <si>
    <t>YC-0242</t>
  </si>
  <si>
    <t>YC-0243</t>
  </si>
  <si>
    <t>YC-0244</t>
  </si>
  <si>
    <t>YC-0245</t>
  </si>
  <si>
    <t>YC-0246</t>
  </si>
  <si>
    <t>YC-0247</t>
  </si>
  <si>
    <t>YC-0248</t>
  </si>
  <si>
    <t>YC-0249</t>
  </si>
  <si>
    <t>YC-0250</t>
  </si>
  <si>
    <t>YC-0251</t>
  </si>
  <si>
    <t>YC-0252</t>
  </si>
  <si>
    <t>YC-0253</t>
  </si>
  <si>
    <t>YC-0254</t>
  </si>
  <si>
    <t>YC-0255</t>
  </si>
  <si>
    <t>YC-0256</t>
  </si>
  <si>
    <t>YC-0257</t>
  </si>
  <si>
    <t>YC-0258</t>
  </si>
  <si>
    <t>YC-0259</t>
  </si>
  <si>
    <t>YC-0260</t>
  </si>
  <si>
    <t>YC-0261</t>
  </si>
  <si>
    <t>YC-0262</t>
  </si>
  <si>
    <t>YC-0263</t>
  </si>
  <si>
    <t>YC-0264</t>
  </si>
  <si>
    <t>YC-0265</t>
  </si>
  <si>
    <t>YC-0266</t>
  </si>
  <si>
    <t>YC-0267</t>
  </si>
  <si>
    <t>YC-0268</t>
  </si>
  <si>
    <t>YC-0269</t>
  </si>
  <si>
    <t>YC-0270</t>
  </si>
  <si>
    <t>YC-0271</t>
  </si>
  <si>
    <t>YC-0272</t>
  </si>
  <si>
    <t>YC-0273</t>
  </si>
  <si>
    <t>YC-0274</t>
  </si>
  <si>
    <t>YC-0275</t>
  </si>
  <si>
    <t>YC-0276</t>
  </si>
  <si>
    <t>YC-0277</t>
  </si>
  <si>
    <t>YC-0278</t>
  </si>
  <si>
    <t>YC-0279</t>
  </si>
  <si>
    <t>YC-0280</t>
  </si>
  <si>
    <t>YC-0281</t>
  </si>
  <si>
    <t>YC-0282</t>
  </si>
  <si>
    <t>YC-0283</t>
  </si>
  <si>
    <t>YC-0284</t>
  </si>
  <si>
    <t>YC-0285</t>
  </si>
  <si>
    <t>YC-0286</t>
  </si>
  <si>
    <t>YC-0287</t>
  </si>
  <si>
    <t>YC-0288</t>
  </si>
  <si>
    <t>YC-0289</t>
  </si>
  <si>
    <t>YC-0290</t>
  </si>
  <si>
    <t>YC-0291</t>
  </si>
  <si>
    <t>YC-0292</t>
  </si>
  <si>
    <t>YC-0293</t>
  </si>
  <si>
    <t>YC-0294</t>
  </si>
  <si>
    <t>YC-0295</t>
  </si>
  <si>
    <t>YC-0296</t>
  </si>
  <si>
    <t>YC-0297</t>
  </si>
  <si>
    <t>YC-0298</t>
  </si>
  <si>
    <t>YC-0299</t>
  </si>
  <si>
    <t>YC-0300</t>
  </si>
  <si>
    <t>YC-0301</t>
  </si>
  <si>
    <t>YC-0302</t>
  </si>
  <si>
    <t>YC-0303</t>
  </si>
  <si>
    <t>YC-0304</t>
  </si>
  <si>
    <t>YC-0305</t>
  </si>
  <si>
    <t>YC-0306</t>
  </si>
  <si>
    <t>YC-0307</t>
  </si>
  <si>
    <t>YC-0308</t>
  </si>
  <si>
    <t>In Progress</t>
  </si>
  <si>
    <t>YC-0309</t>
  </si>
  <si>
    <t>YC-0310</t>
  </si>
  <si>
    <t>YC-0311</t>
  </si>
  <si>
    <t>YC-0312</t>
  </si>
  <si>
    <t>YC-0313</t>
  </si>
  <si>
    <t>YC-0314</t>
  </si>
  <si>
    <t>YC-0315</t>
  </si>
  <si>
    <t>YC-0316</t>
  </si>
  <si>
    <t>YC-0317</t>
  </si>
  <si>
    <t>YC-0318</t>
  </si>
  <si>
    <t>YC-0319</t>
  </si>
  <si>
    <t>YC-0320</t>
  </si>
  <si>
    <t>YC-0321</t>
  </si>
  <si>
    <t>YC-0322</t>
  </si>
  <si>
    <t>YC-0323</t>
  </si>
  <si>
    <t>YC-0324</t>
  </si>
  <si>
    <t>YC-0325</t>
  </si>
  <si>
    <t>YC-0326</t>
  </si>
  <si>
    <t>YC-0327</t>
  </si>
  <si>
    <t>YC-0328</t>
  </si>
  <si>
    <t>YC-0329</t>
  </si>
  <si>
    <t>YC-0330</t>
  </si>
  <si>
    <t>YC-0331</t>
  </si>
  <si>
    <t>Member ID</t>
  </si>
  <si>
    <t>Join Date</t>
  </si>
  <si>
    <t>Department</t>
  </si>
  <si>
    <t>Role Level</t>
  </si>
  <si>
    <t>Initiatives Led</t>
  </si>
  <si>
    <t>Initiatives Participated</t>
  </si>
  <si>
    <t>Volunteer Hours YTD</t>
  </si>
  <si>
    <t>Training Hours YTD</t>
  </si>
  <si>
    <t>Active</t>
  </si>
  <si>
    <t>EHS-YC-001</t>
  </si>
  <si>
    <t>Nursing</t>
  </si>
  <si>
    <t>Member</t>
  </si>
  <si>
    <t>Yes</t>
  </si>
  <si>
    <t>EHS-YC-002</t>
  </si>
  <si>
    <t>Administration</t>
  </si>
  <si>
    <t>EHS-YC-003</t>
  </si>
  <si>
    <t>Quality &amp; Excellence</t>
  </si>
  <si>
    <t>EHS-YC-004</t>
  </si>
  <si>
    <t>IT/Digital</t>
  </si>
  <si>
    <t>EHS-YC-005</t>
  </si>
  <si>
    <t>Innovation</t>
  </si>
  <si>
    <t>No</t>
  </si>
  <si>
    <t>EHS-YC-006</t>
  </si>
  <si>
    <t>EHS-YC-007</t>
  </si>
  <si>
    <t>Committee Lead</t>
  </si>
  <si>
    <t>EHS-YC-008</t>
  </si>
  <si>
    <t>Rapporteur</t>
  </si>
  <si>
    <t>EHS-YC-009</t>
  </si>
  <si>
    <t>EHS-YC-010</t>
  </si>
  <si>
    <t>EHS-YC-011</t>
  </si>
  <si>
    <t>EHS-YC-012</t>
  </si>
  <si>
    <t>EHS-YC-013</t>
  </si>
  <si>
    <t>Pharmacy</t>
  </si>
  <si>
    <t>EHS-YC-014</t>
  </si>
  <si>
    <t>Allied Health</t>
  </si>
  <si>
    <t>EHS-YC-015</t>
  </si>
  <si>
    <t>EHS-YC-016</t>
  </si>
  <si>
    <t>EHS-YC-017</t>
  </si>
  <si>
    <t>EHS-YC-018</t>
  </si>
  <si>
    <t>EHS-YC-019</t>
  </si>
  <si>
    <t>EHS-YC-020</t>
  </si>
  <si>
    <t>EHS-YC-021</t>
  </si>
  <si>
    <t>Communications</t>
  </si>
  <si>
    <t>EHS-YC-022</t>
  </si>
  <si>
    <t>EHS-YC-023</t>
  </si>
  <si>
    <t>EHS-YC-024</t>
  </si>
  <si>
    <t>EHS-YC-025</t>
  </si>
  <si>
    <t>EHS-YC-026</t>
  </si>
  <si>
    <t>EHS-YC-027</t>
  </si>
  <si>
    <t>EHS-YC-028</t>
  </si>
  <si>
    <t>EHS-YC-029</t>
  </si>
  <si>
    <t>HR</t>
  </si>
  <si>
    <t>EHS-YC-030</t>
  </si>
  <si>
    <t>EHS-YC-031</t>
  </si>
  <si>
    <t>EHS-YC-032</t>
  </si>
  <si>
    <t>EHS-YC-033</t>
  </si>
  <si>
    <t>EHS-YC-034</t>
  </si>
  <si>
    <t>EHS-YC-035</t>
  </si>
  <si>
    <t>EHS-YC-036</t>
  </si>
  <si>
    <t>EHS-YC-037</t>
  </si>
  <si>
    <t>EHS-YC-038</t>
  </si>
  <si>
    <t>EHS-YC-039</t>
  </si>
  <si>
    <t>EHS-YC-040</t>
  </si>
  <si>
    <t>EHS-YC-041</t>
  </si>
  <si>
    <t>EHS-YC-042</t>
  </si>
  <si>
    <t>EHS-YC-043</t>
  </si>
  <si>
    <t>EHS-YC-044</t>
  </si>
  <si>
    <t>EHS-YC-045</t>
  </si>
  <si>
    <t>EHS-YC-046</t>
  </si>
  <si>
    <t>EHS-YC-047</t>
  </si>
  <si>
    <t>EHS-YC-048</t>
  </si>
  <si>
    <t>Month</t>
  </si>
  <si>
    <t>Initiatives Delivered</t>
  </si>
  <si>
    <t>Target Initiatives</t>
  </si>
  <si>
    <t>Total Participants</t>
  </si>
  <si>
    <t>Unique Participants</t>
  </si>
  <si>
    <t>Avg Satisfaction</t>
  </si>
  <si>
    <t>Budget Utilisation %</t>
  </si>
  <si>
    <t>Social Reach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</si>
</sst>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yyyy\-mm\-dd"/>
    <numFmt numFmtId="165" formatCode="0.0"/>
    <numFmt numFmtId="166" formatCode="&quot;AED&quot;\ #,##0"/>
    <numFmt numFmtId="167" formatCode="mmm\ yyyy"/>
    <numFmt numFmtId="168" formatCode="0.0%"/>
  </numFmts>
  <fonts count="7">
    <font>
      <sz val="11"/>
      <color theme="1"/>
      <name val="Calibri"/>
      <family val="2"/>
      <scheme val="minor"/>
    </font>
    <font>
      <sz val="11"/>
      <color theme="1"/>
      <name val="Calibri"/>
    </font>
    <font>
      <b/>
      <sz val="11"/>
      <color theme="1"/>
      <name val="Calibri"/>
    </font>
    <font>
      <b/>
      <sz val="16"/>
      <color rgb="FF00A39E"/>
      <name val="Calibri"/>
    </font>
    <font>
      <i/>
      <sz val="11"/>
      <color theme="1"/>
      <name val="Calibri"/>
    </font>
    <font>
      <b/>
      <sz val="11"/>
      <color rgb="FF1A1A2E"/>
      <name val="Calibri"/>
    </font>
    <font>
      <b/>
      <sz val="11"/>
      <color rgb="FFFFFFFF"/>
      <name val="Calibri"/>
    </font>
  </fonts>
  <fills count="4">
    <fill>
      <patternFill patternType="none"/>
    </fill>
    <fill>
      <patternFill patternType="gray125"/>
    </fill>
    <fill>
      <patternFill patternType="solid">
        <fgColor rgb="FFE6F6F5"/>
        <bgColor indexed="64"/>
      </patternFill>
    </fill>
    <fill>
      <patternFill patternType="solid">
        <fgColor rgb="FF00A39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 applyAlignment="1">
      <alignment vertical="center" wrapText="1"/>
    </xf>
    <xf numFmtId="0" fontId="6" fillId="3" borderId="0" xfId="0" applyFont="1" applyFill="1" applyAlignment="1">
      <alignment horizontal="center"/>
    </xf>
    <xf numFmtId="3" fontId="1" fillId="0" borderId="0" xfId="0" applyNumberFormat="1" applyFont="1" applyAlignment="1">
      <alignment horizontal="center"/>
    </xf>
    <xf numFmtId="0" fontId="1" fillId="0" borderId="0" xfId="0" applyFont="1" applyAlignment="1">
      <alignment vertical="top" wrapText="1"/>
    </xf>
    <xf numFmtId="0" fontId="6" fillId="3" borderId="0" xfId="0" applyFont="1" applyFill="1" applyAlignment="1">
      <alignment horizontal="center" vertical="center" wrapText="1"/>
    </xf>
    <xf numFmtId="164" fontId="1" fillId="0" borderId="0" xfId="0" applyNumberFormat="1" applyFont="1" applyAlignment="1">
      <alignment horizontal="center"/>
    </xf>
    <xf numFmtId="3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right"/>
    </xf>
    <xf numFmtId="0" fontId="1" fillId="0" borderId="0" xfId="0" applyNumberFormat="1" applyFont="1" applyAlignment="1">
      <alignment horizontal="center"/>
    </xf>
    <xf numFmtId="167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168" fontId="1" fillId="0" borderId="0" xfId="0" applyNumberFormat="1" applyFont="1" applyAlignment="1">
      <alignment horizontal="right"/>
    </xf>
  </cellXfs>
  <cellStyles count="1">
    <cellStyle name="Normal" xfId="0" builtinId="0"/>
  </cellStyles>
  <dxfs count="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0.0%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2" formatCode="0.00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7" formatCode="mmm\ yyyy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00A39E"/>
        </patternFill>
      </fill>
      <alignment horizontal="center" vertical="center" wrapTex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0" formatCode="General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yyyy\-mm\-dd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00A39E"/>
        </patternFill>
      </fill>
      <alignment horizontal="center" vertical="center" wrapText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6" formatCode="&quot;AED&quot;\ #,##0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6" formatCode="&quot;AED&quot;\ #,##0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0.0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3" formatCode="#,##0"/>
      <alignment horizontal="right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4" formatCode="yyyy\-mm\-dd"/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indexed="64"/>
          <bgColor rgb="FF00A39E"/>
        </patternFill>
      </fill>
      <alignment horizontal="center" vertical="center" wrapText="1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64DBDCC-6430-493F-92E0-CC06004A6BCD}" name="InitiativesTbl" displayName="InitiativesTbl" ref="A1:N332" totalsRowShown="0" headerRowDxfId="38" dataDxfId="37">
  <autoFilter ref="A1:N332" xr:uid="{C64DBDCC-6430-493F-92E0-CC06004A6BCD}"/>
  <tableColumns count="14">
    <tableColumn id="1" xr3:uid="{BAE6808C-5482-4A80-83A1-A9E73F1ECD8A}" name="Activity ID" dataDxfId="36"/>
    <tableColumn id="2" xr3:uid="{4F3F3B91-2640-4924-AAD0-BA690033E837}" name="Date" dataDxfId="35"/>
    <tableColumn id="3" xr3:uid="{0FA05C63-6B7A-4F44-8781-2088573E1B85}" name="Initiative Name" dataDxfId="34"/>
    <tableColumn id="4" xr3:uid="{4D3B6B0A-FBB6-4A55-81C4-0EB8286C125A}" name="Programme" dataDxfId="33"/>
    <tableColumn id="5" xr3:uid="{91F3BD6E-3196-454E-977A-2CCA9FA42A54}" name="Category" dataDxfId="32"/>
    <tableColumn id="6" xr3:uid="{CEF96DB1-6561-431D-ABD7-558D28310558}" name="Emirate" dataDxfId="31"/>
    <tableColumn id="7" xr3:uid="{023F9522-DDD5-4F5D-9723-D75A7A0EC79E}" name="Facility" dataDxfId="30"/>
    <tableColumn id="8" xr3:uid="{03EDB4C9-EBBA-4825-862C-355CEB137B44}" name="Participants Registered" dataDxfId="29"/>
    <tableColumn id="9" xr3:uid="{A24993F6-70EE-4A7A-B563-783E15090E38}" name="Participants Attended" dataDxfId="28"/>
    <tableColumn id="10" xr3:uid="{A1BE3674-2151-4450-836A-A13D23F457EF}" name="Volunteer Hours" dataDxfId="27"/>
    <tableColumn id="11" xr3:uid="{FAD4847C-9265-4BF2-B397-98850A00C3DA}" name="Satisfaction Score" dataDxfId="26"/>
    <tableColumn id="12" xr3:uid="{A131B406-4C9A-4033-BD5F-7F500F52642E}" name="Budget AED" dataDxfId="25"/>
    <tableColumn id="13" xr3:uid="{DBE723C8-6AF7-40D8-BBC2-B89DAF432EF6}" name="Actual Spend AED" dataDxfId="24"/>
    <tableColumn id="14" xr3:uid="{0549C8E5-5E60-4E39-A295-1579C0944E6C}" name="Status" dataDxfId="23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74437F6-49C2-4A36-9FF7-D0A41E650D9F}" name="MembersTbl" displayName="MembersTbl" ref="A1:J49" totalsRowShown="0" headerRowDxfId="22" dataDxfId="21">
  <autoFilter ref="A1:J49" xr:uid="{F74437F6-49C2-4A36-9FF7-D0A41E650D9F}"/>
  <tableColumns count="10">
    <tableColumn id="1" xr3:uid="{689DFD64-B796-4BCE-A703-1DBD8086192A}" name="Member ID" dataDxfId="20"/>
    <tableColumn id="2" xr3:uid="{C48B5837-FE71-4760-AF33-20E2B9371446}" name="Join Date" dataDxfId="19"/>
    <tableColumn id="3" xr3:uid="{F913E9FC-EBD0-4EE0-9743-D46E4F85FDD5}" name="Department" dataDxfId="18"/>
    <tableColumn id="4" xr3:uid="{6BE97E73-C72D-4BD8-A820-BBEC9C62D482}" name="Emirate" dataDxfId="17"/>
    <tableColumn id="5" xr3:uid="{6CE85CFC-6ECF-4759-ADAB-568A7D4CF9DF}" name="Role Level" dataDxfId="16"/>
    <tableColumn id="6" xr3:uid="{2BCBEDC6-CD8C-49B1-8483-3025C88B0659}" name="Initiatives Led" dataDxfId="15"/>
    <tableColumn id="7" xr3:uid="{00E5F147-6879-4805-9EBA-637C5656A208}" name="Initiatives Participated" dataDxfId="14"/>
    <tableColumn id="8" xr3:uid="{C0055309-A3AA-48B2-9C6C-2AD8660EE644}" name="Volunteer Hours YTD" dataDxfId="13"/>
    <tableColumn id="9" xr3:uid="{E6359DE8-DC91-4D4E-90E1-3B20FAD97193}" name="Training Hours YTD" dataDxfId="12"/>
    <tableColumn id="10" xr3:uid="{60CD0EEE-B996-42A5-858B-78E17393FA0D}" name="Active" dataDxfId="11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2DB5F7F-D561-4CF2-A9D2-CF12F9350F38}" name="MonthlyKpisTbl" displayName="MonthlyKpisTbl" ref="A1:I25" totalsRowShown="0" headerRowDxfId="10" dataDxfId="9">
  <autoFilter ref="A1:I25" xr:uid="{72DB5F7F-D561-4CF2-A9D2-CF12F9350F38}"/>
  <tableColumns count="9">
    <tableColumn id="1" xr3:uid="{F115B187-EA72-4836-9ADA-F044A8B7257E}" name="Month" dataDxfId="8"/>
    <tableColumn id="2" xr3:uid="{BA849DF1-DD55-452A-8967-D61B1C805FD6}" name="Initiatives Delivered" dataDxfId="7"/>
    <tableColumn id="3" xr3:uid="{655E5247-82C8-4600-8686-6D69AC6D65D8}" name="Target Initiatives" dataDxfId="6"/>
    <tableColumn id="4" xr3:uid="{151E0A02-AA11-4293-81DE-E41312673039}" name="Total Participants" dataDxfId="5"/>
    <tableColumn id="5" xr3:uid="{3C384C94-6428-4F50-AE86-A78BD0D9B2A7}" name="Unique Participants" dataDxfId="4"/>
    <tableColumn id="6" xr3:uid="{4FE69AEB-935B-4623-8F7D-D15F77205B42}" name="Volunteer Hours" dataDxfId="3"/>
    <tableColumn id="7" xr3:uid="{3D4BEBBF-4C70-462A-A141-E8E22B956DE4}" name="Avg Satisfaction" dataDxfId="2"/>
    <tableColumn id="8" xr3:uid="{37B48F55-9FE8-4E74-ABF7-D636232E5F48}" name="Budget Utilisation %" dataDxfId="1"/>
    <tableColumn id="9" xr3:uid="{FA110FBB-EDF2-4FAD-A76E-99F657EA406F}" name="Social Reach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2"/>
  <sheetViews>
    <sheetView workbookViewId="0"/>
  </sheetViews>
  <sheetFormatPr defaultRowHeight="15"/>
  <cols>
    <col min="1" max="1" width="22.7109375" customWidth="1"/>
    <col min="2" max="2" width="9.7109375" customWidth="1"/>
    <col min="3" max="3" width="10.7109375" customWidth="1"/>
    <col min="4" max="4" width="86.7109375" customWidth="1"/>
    <col min="5" max="6" width="12.7109375" customWidth="1"/>
  </cols>
  <sheetData>
    <row r="1" spans="1:6">
      <c r="A1" s="3" t="s">
        <v>0</v>
      </c>
      <c r="B1" s="1"/>
      <c r="C1" s="1"/>
      <c r="D1" s="1"/>
      <c r="E1" s="1"/>
      <c r="F1" s="1"/>
    </row>
    <row r="2" spans="1:6">
      <c r="A2" s="4" t="s">
        <v>1</v>
      </c>
      <c r="B2" s="1"/>
      <c r="C2" s="1"/>
      <c r="D2" s="1"/>
      <c r="E2" s="1"/>
      <c r="F2" s="1"/>
    </row>
    <row r="3" spans="1:6" ht="45.75" customHeight="1">
      <c r="A3" s="5" t="s">
        <v>2</v>
      </c>
      <c r="B3" s="5"/>
      <c r="C3" s="5"/>
      <c r="D3" s="5"/>
      <c r="E3" s="5"/>
      <c r="F3" s="5"/>
    </row>
    <row r="4" spans="1:6">
      <c r="A4" s="1" t="s">
        <v>3</v>
      </c>
      <c r="B4" s="1"/>
      <c r="C4" s="1"/>
      <c r="D4" s="1"/>
      <c r="E4" s="1"/>
      <c r="F4" s="1"/>
    </row>
    <row r="5" spans="1:6">
      <c r="A5" s="1"/>
      <c r="B5" s="1"/>
      <c r="C5" s="1"/>
      <c r="D5" s="1"/>
      <c r="E5" s="1"/>
      <c r="F5" s="1"/>
    </row>
    <row r="6" spans="1:6" ht="20.25" customHeight="1">
      <c r="A6" s="6" t="s">
        <v>4</v>
      </c>
      <c r="B6" s="6" t="s">
        <v>5</v>
      </c>
      <c r="C6" s="6" t="s">
        <v>6</v>
      </c>
      <c r="D6" s="6" t="s">
        <v>7</v>
      </c>
      <c r="E6" s="1"/>
      <c r="F6" s="1"/>
    </row>
    <row r="7" spans="1:6" ht="44.25" customHeight="1">
      <c r="A7" s="2" t="s">
        <v>8</v>
      </c>
      <c r="B7" s="7">
        <v>331</v>
      </c>
      <c r="C7" s="7">
        <v>14</v>
      </c>
      <c r="D7" s="8" t="s">
        <v>9</v>
      </c>
      <c r="E7" s="1"/>
      <c r="F7" s="1"/>
    </row>
    <row r="8" spans="1:6" ht="44.25" customHeight="1">
      <c r="A8" s="2" t="s">
        <v>10</v>
      </c>
      <c r="B8" s="7">
        <v>48</v>
      </c>
      <c r="C8" s="7">
        <v>10</v>
      </c>
      <c r="D8" s="8" t="s">
        <v>11</v>
      </c>
      <c r="E8" s="1"/>
      <c r="F8" s="1"/>
    </row>
    <row r="9" spans="1:6" ht="44.25" customHeight="1">
      <c r="A9" s="2" t="s">
        <v>12</v>
      </c>
      <c r="B9" s="7">
        <v>24</v>
      </c>
      <c r="C9" s="7">
        <v>9</v>
      </c>
      <c r="D9" s="8" t="s">
        <v>13</v>
      </c>
      <c r="E9" s="1"/>
      <c r="F9" s="1"/>
    </row>
    <row r="10" spans="1:6">
      <c r="A10" s="1"/>
      <c r="B10" s="1"/>
      <c r="C10" s="1"/>
      <c r="D10" s="1"/>
      <c r="E10" s="1"/>
      <c r="F10" s="1"/>
    </row>
    <row r="11" spans="1:6">
      <c r="A11" s="4" t="s">
        <v>14</v>
      </c>
      <c r="B11" s="1"/>
      <c r="C11" s="1"/>
      <c r="D11" s="1"/>
      <c r="E11" s="1"/>
      <c r="F11" s="1"/>
    </row>
    <row r="12" spans="1:6">
      <c r="A12" s="4" t="s">
        <v>15</v>
      </c>
      <c r="B12" s="1"/>
      <c r="C12" s="1"/>
      <c r="D12" s="1"/>
      <c r="E12" s="1"/>
      <c r="F12" s="1"/>
    </row>
  </sheetData>
  <mergeCells count="1">
    <mergeCell ref="A3:F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FEF28C-9E4A-45FF-B312-7E43843537AF}">
  <dimension ref="A1:N332"/>
  <sheetViews>
    <sheetView workbookViewId="0">
      <pane ySplit="1" topLeftCell="A2" activePane="bottomLeft" state="frozen"/>
      <selection pane="bottomLeft"/>
    </sheetView>
  </sheetViews>
  <sheetFormatPr defaultRowHeight="15"/>
  <cols>
    <col min="1" max="2" width="12.7109375" customWidth="1"/>
    <col min="3" max="3" width="34.7109375" customWidth="1"/>
    <col min="4" max="4" width="18.7109375" customWidth="1"/>
    <col min="5" max="5" width="14.7109375" customWidth="1"/>
    <col min="6" max="6" width="16.7109375" customWidth="1"/>
    <col min="7" max="7" width="32.7109375" customWidth="1"/>
    <col min="8" max="11" width="13.7109375" customWidth="1"/>
    <col min="12" max="12" width="14.7109375" customWidth="1"/>
    <col min="13" max="13" width="15.7109375" customWidth="1"/>
    <col min="14" max="14" width="13.7109375" customWidth="1"/>
  </cols>
  <sheetData>
    <row r="1" spans="1:14" ht="33.75" customHeight="1">
      <c r="A1" s="9" t="s">
        <v>16</v>
      </c>
      <c r="B1" s="9" t="s">
        <v>17</v>
      </c>
      <c r="C1" s="9" t="s">
        <v>18</v>
      </c>
      <c r="D1" s="9" t="s">
        <v>19</v>
      </c>
      <c r="E1" s="9" t="s">
        <v>20</v>
      </c>
      <c r="F1" s="9" t="s">
        <v>21</v>
      </c>
      <c r="G1" s="9" t="s">
        <v>22</v>
      </c>
      <c r="H1" s="9" t="s">
        <v>23</v>
      </c>
      <c r="I1" s="9" t="s">
        <v>24</v>
      </c>
      <c r="J1" s="9" t="s">
        <v>25</v>
      </c>
      <c r="K1" s="9" t="s">
        <v>26</v>
      </c>
      <c r="L1" s="9" t="s">
        <v>27</v>
      </c>
      <c r="M1" s="9" t="s">
        <v>28</v>
      </c>
      <c r="N1" s="9" t="s">
        <v>29</v>
      </c>
    </row>
    <row r="2" spans="1:14">
      <c r="A2" s="1" t="s">
        <v>30</v>
      </c>
      <c r="B2" s="10">
        <v>45567</v>
      </c>
      <c r="C2" s="1" t="s">
        <v>31</v>
      </c>
      <c r="D2" s="1" t="s">
        <v>32</v>
      </c>
      <c r="E2" s="1" t="s">
        <v>33</v>
      </c>
      <c r="F2" s="1" t="s">
        <v>34</v>
      </c>
      <c r="G2" s="1" t="s">
        <v>35</v>
      </c>
      <c r="H2" s="11">
        <v>44</v>
      </c>
      <c r="I2" s="11">
        <v>38</v>
      </c>
      <c r="J2" s="11">
        <v>201</v>
      </c>
      <c r="K2" s="12">
        <v>4.7</v>
      </c>
      <c r="L2" s="13">
        <v>18500</v>
      </c>
      <c r="M2" s="13">
        <v>13900</v>
      </c>
      <c r="N2" s="1" t="s">
        <v>36</v>
      </c>
    </row>
    <row r="3" spans="1:14">
      <c r="A3" s="1" t="s">
        <v>37</v>
      </c>
      <c r="B3" s="10">
        <v>45567</v>
      </c>
      <c r="C3" s="1" t="s">
        <v>38</v>
      </c>
      <c r="D3" s="1" t="s">
        <v>39</v>
      </c>
      <c r="E3" s="1" t="s">
        <v>40</v>
      </c>
      <c r="F3" s="1" t="s">
        <v>34</v>
      </c>
      <c r="G3" s="1" t="s">
        <v>41</v>
      </c>
      <c r="H3" s="11">
        <v>134</v>
      </c>
      <c r="I3" s="11">
        <v>122</v>
      </c>
      <c r="J3" s="11">
        <v>107</v>
      </c>
      <c r="K3" s="12">
        <v>4</v>
      </c>
      <c r="L3" s="13">
        <v>32600</v>
      </c>
      <c r="M3" s="13">
        <v>35300</v>
      </c>
      <c r="N3" s="1" t="s">
        <v>36</v>
      </c>
    </row>
    <row r="4" spans="1:14">
      <c r="A4" s="1" t="s">
        <v>42</v>
      </c>
      <c r="B4" s="10">
        <v>45567</v>
      </c>
      <c r="C4" s="1" t="s">
        <v>43</v>
      </c>
      <c r="D4" s="1" t="s">
        <v>44</v>
      </c>
      <c r="E4" s="1" t="s">
        <v>45</v>
      </c>
      <c r="F4" s="1" t="s">
        <v>34</v>
      </c>
      <c r="G4" s="1" t="s">
        <v>46</v>
      </c>
      <c r="H4" s="11">
        <v>176</v>
      </c>
      <c r="I4" s="11">
        <v>159</v>
      </c>
      <c r="J4" s="11">
        <v>187</v>
      </c>
      <c r="K4" s="12">
        <v>3.9</v>
      </c>
      <c r="L4" s="13">
        <v>61500</v>
      </c>
      <c r="M4" s="13">
        <v>52400</v>
      </c>
      <c r="N4" s="1" t="s">
        <v>36</v>
      </c>
    </row>
    <row r="5" spans="1:14">
      <c r="A5" s="1" t="s">
        <v>47</v>
      </c>
      <c r="B5" s="10">
        <v>45568</v>
      </c>
      <c r="C5" s="1" t="s">
        <v>48</v>
      </c>
      <c r="D5" s="1" t="s">
        <v>49</v>
      </c>
      <c r="E5" s="1" t="s">
        <v>50</v>
      </c>
      <c r="F5" s="1" t="s">
        <v>51</v>
      </c>
      <c r="G5" s="1" t="s">
        <v>52</v>
      </c>
      <c r="H5" s="11">
        <v>54</v>
      </c>
      <c r="I5" s="11">
        <v>50</v>
      </c>
      <c r="J5" s="11">
        <v>22</v>
      </c>
      <c r="K5" s="12">
        <v>4.3</v>
      </c>
      <c r="L5" s="13">
        <v>45800</v>
      </c>
      <c r="M5" s="13">
        <v>33700</v>
      </c>
      <c r="N5" s="1" t="s">
        <v>36</v>
      </c>
    </row>
    <row r="6" spans="1:14">
      <c r="A6" s="1" t="s">
        <v>53</v>
      </c>
      <c r="B6" s="10">
        <v>45569</v>
      </c>
      <c r="C6" s="1" t="s">
        <v>54</v>
      </c>
      <c r="D6" s="1" t="s">
        <v>39</v>
      </c>
      <c r="E6" s="1" t="s">
        <v>40</v>
      </c>
      <c r="F6" s="1" t="s">
        <v>55</v>
      </c>
      <c r="G6" s="1" t="s">
        <v>56</v>
      </c>
      <c r="H6" s="11">
        <v>100</v>
      </c>
      <c r="I6" s="11">
        <v>89</v>
      </c>
      <c r="J6" s="11">
        <v>102</v>
      </c>
      <c r="K6" s="12">
        <v>4.2</v>
      </c>
      <c r="L6" s="13">
        <v>66100</v>
      </c>
      <c r="M6" s="13">
        <v>63500</v>
      </c>
      <c r="N6" s="1" t="s">
        <v>36</v>
      </c>
    </row>
    <row r="7" spans="1:14">
      <c r="A7" s="1" t="s">
        <v>57</v>
      </c>
      <c r="B7" s="10">
        <v>45572</v>
      </c>
      <c r="C7" s="1" t="s">
        <v>58</v>
      </c>
      <c r="D7" s="1" t="s">
        <v>59</v>
      </c>
      <c r="E7" s="1" t="s">
        <v>60</v>
      </c>
      <c r="F7" s="1" t="s">
        <v>55</v>
      </c>
      <c r="G7" s="1" t="s">
        <v>56</v>
      </c>
      <c r="H7" s="11">
        <v>26</v>
      </c>
      <c r="I7" s="11">
        <v>24</v>
      </c>
      <c r="J7" s="11">
        <v>4</v>
      </c>
      <c r="K7" s="12">
        <v>3.7</v>
      </c>
      <c r="L7" s="13">
        <v>14500</v>
      </c>
      <c r="M7" s="13">
        <v>11700</v>
      </c>
      <c r="N7" s="1" t="s">
        <v>36</v>
      </c>
    </row>
    <row r="8" spans="1:14">
      <c r="A8" s="1" t="s">
        <v>61</v>
      </c>
      <c r="B8" s="10">
        <v>45574</v>
      </c>
      <c r="C8" s="1" t="s">
        <v>62</v>
      </c>
      <c r="D8" s="1" t="s">
        <v>59</v>
      </c>
      <c r="E8" s="1" t="s">
        <v>63</v>
      </c>
      <c r="F8" s="1" t="s">
        <v>64</v>
      </c>
      <c r="G8" s="1" t="s">
        <v>65</v>
      </c>
      <c r="H8" s="11">
        <v>22</v>
      </c>
      <c r="I8" s="11">
        <v>18</v>
      </c>
      <c r="J8" s="11">
        <v>8</v>
      </c>
      <c r="K8" s="12">
        <v>3.5</v>
      </c>
      <c r="L8" s="13">
        <v>31800</v>
      </c>
      <c r="M8" s="13">
        <v>26200</v>
      </c>
      <c r="N8" s="1" t="s">
        <v>36</v>
      </c>
    </row>
    <row r="9" spans="1:14">
      <c r="A9" s="1" t="s">
        <v>66</v>
      </c>
      <c r="B9" s="10">
        <v>45575</v>
      </c>
      <c r="C9" s="1" t="s">
        <v>67</v>
      </c>
      <c r="D9" s="1" t="s">
        <v>39</v>
      </c>
      <c r="E9" s="1" t="s">
        <v>40</v>
      </c>
      <c r="F9" s="1" t="s">
        <v>34</v>
      </c>
      <c r="G9" s="1" t="s">
        <v>41</v>
      </c>
      <c r="H9" s="11">
        <v>84</v>
      </c>
      <c r="I9" s="11">
        <v>76</v>
      </c>
      <c r="J9" s="11">
        <v>98</v>
      </c>
      <c r="K9" s="12">
        <v>3.9</v>
      </c>
      <c r="L9" s="13">
        <v>44500</v>
      </c>
      <c r="M9" s="13">
        <v>31400</v>
      </c>
      <c r="N9" s="1" t="s">
        <v>36</v>
      </c>
    </row>
    <row r="10" spans="1:14">
      <c r="A10" s="1" t="s">
        <v>68</v>
      </c>
      <c r="B10" s="10">
        <v>45579</v>
      </c>
      <c r="C10" s="1" t="s">
        <v>31</v>
      </c>
      <c r="D10" s="1" t="s">
        <v>32</v>
      </c>
      <c r="E10" s="1" t="s">
        <v>33</v>
      </c>
      <c r="F10" s="1" t="s">
        <v>34</v>
      </c>
      <c r="G10" s="1" t="s">
        <v>41</v>
      </c>
      <c r="H10" s="11">
        <v>34</v>
      </c>
      <c r="I10" s="11">
        <v>29</v>
      </c>
      <c r="J10" s="11">
        <v>126</v>
      </c>
      <c r="K10" s="12">
        <v>4.3</v>
      </c>
      <c r="L10" s="13">
        <v>16700</v>
      </c>
      <c r="M10" s="13">
        <v>11900</v>
      </c>
      <c r="N10" s="1" t="s">
        <v>36</v>
      </c>
    </row>
    <row r="11" spans="1:14">
      <c r="A11" s="1" t="s">
        <v>69</v>
      </c>
      <c r="B11" s="10">
        <v>45580</v>
      </c>
      <c r="C11" s="1" t="s">
        <v>58</v>
      </c>
      <c r="D11" s="1" t="s">
        <v>59</v>
      </c>
      <c r="E11" s="1" t="s">
        <v>60</v>
      </c>
      <c r="F11" s="1" t="s">
        <v>51</v>
      </c>
      <c r="G11" s="1" t="s">
        <v>70</v>
      </c>
      <c r="H11" s="11">
        <v>20</v>
      </c>
      <c r="I11" s="11">
        <v>17</v>
      </c>
      <c r="J11" s="11">
        <v>6</v>
      </c>
      <c r="K11" s="12">
        <v>3.4</v>
      </c>
      <c r="L11" s="13">
        <v>4700</v>
      </c>
      <c r="M11" s="13">
        <v>4700</v>
      </c>
      <c r="N11" s="1" t="s">
        <v>36</v>
      </c>
    </row>
    <row r="12" spans="1:14">
      <c r="A12" s="1" t="s">
        <v>71</v>
      </c>
      <c r="B12" s="10">
        <v>45580</v>
      </c>
      <c r="C12" s="1" t="s">
        <v>72</v>
      </c>
      <c r="D12" s="1" t="s">
        <v>59</v>
      </c>
      <c r="E12" s="1" t="s">
        <v>63</v>
      </c>
      <c r="F12" s="1" t="s">
        <v>34</v>
      </c>
      <c r="G12" s="1" t="s">
        <v>35</v>
      </c>
      <c r="H12" s="11">
        <v>29</v>
      </c>
      <c r="I12" s="11">
        <v>24</v>
      </c>
      <c r="J12" s="11">
        <v>10</v>
      </c>
      <c r="K12" s="12">
        <v>3.6</v>
      </c>
      <c r="L12" s="13">
        <v>17700</v>
      </c>
      <c r="M12" s="13">
        <v>15200</v>
      </c>
      <c r="N12" s="1" t="s">
        <v>36</v>
      </c>
    </row>
    <row r="13" spans="1:14">
      <c r="A13" s="1" t="s">
        <v>73</v>
      </c>
      <c r="B13" s="10">
        <v>45581</v>
      </c>
      <c r="C13" s="1" t="s">
        <v>74</v>
      </c>
      <c r="D13" s="1" t="s">
        <v>44</v>
      </c>
      <c r="E13" s="1" t="s">
        <v>40</v>
      </c>
      <c r="F13" s="1" t="s">
        <v>34</v>
      </c>
      <c r="G13" s="1" t="s">
        <v>35</v>
      </c>
      <c r="H13" s="11">
        <v>122</v>
      </c>
      <c r="I13" s="11">
        <v>101</v>
      </c>
      <c r="J13" s="11">
        <v>137</v>
      </c>
      <c r="K13" s="12">
        <v>4.2</v>
      </c>
      <c r="L13" s="13">
        <v>30800</v>
      </c>
      <c r="M13" s="13">
        <v>32400</v>
      </c>
      <c r="N13" s="1" t="s">
        <v>36</v>
      </c>
    </row>
    <row r="14" spans="1:14">
      <c r="A14" s="1" t="s">
        <v>75</v>
      </c>
      <c r="B14" s="10">
        <v>45586</v>
      </c>
      <c r="C14" s="1" t="s">
        <v>76</v>
      </c>
      <c r="D14" s="1" t="s">
        <v>59</v>
      </c>
      <c r="E14" s="1" t="s">
        <v>63</v>
      </c>
      <c r="F14" s="1" t="s">
        <v>77</v>
      </c>
      <c r="G14" s="1" t="s">
        <v>78</v>
      </c>
      <c r="H14" s="11">
        <v>53</v>
      </c>
      <c r="I14" s="11">
        <v>47</v>
      </c>
      <c r="J14" s="11">
        <v>7</v>
      </c>
      <c r="K14" s="12">
        <v>3.3</v>
      </c>
      <c r="L14" s="13">
        <v>9500</v>
      </c>
      <c r="M14" s="13">
        <v>7300</v>
      </c>
      <c r="N14" s="1" t="s">
        <v>36</v>
      </c>
    </row>
    <row r="15" spans="1:14">
      <c r="A15" s="1" t="s">
        <v>79</v>
      </c>
      <c r="B15" s="10">
        <v>45589</v>
      </c>
      <c r="C15" s="1" t="s">
        <v>80</v>
      </c>
      <c r="D15" s="1" t="s">
        <v>39</v>
      </c>
      <c r="E15" s="1" t="s">
        <v>45</v>
      </c>
      <c r="F15" s="1" t="s">
        <v>34</v>
      </c>
      <c r="G15" s="1" t="s">
        <v>35</v>
      </c>
      <c r="H15" s="11">
        <v>65</v>
      </c>
      <c r="I15" s="11">
        <v>54</v>
      </c>
      <c r="J15" s="11">
        <v>22</v>
      </c>
      <c r="K15" s="12">
        <v>4.3</v>
      </c>
      <c r="L15" s="13">
        <v>25400</v>
      </c>
      <c r="M15" s="13">
        <v>22100</v>
      </c>
      <c r="N15" s="1" t="s">
        <v>36</v>
      </c>
    </row>
    <row r="16" spans="1:14">
      <c r="A16" s="1" t="s">
        <v>81</v>
      </c>
      <c r="B16" s="10">
        <v>45595</v>
      </c>
      <c r="C16" s="1" t="s">
        <v>58</v>
      </c>
      <c r="D16" s="1" t="s">
        <v>82</v>
      </c>
      <c r="E16" s="1" t="s">
        <v>60</v>
      </c>
      <c r="F16" s="1" t="s">
        <v>64</v>
      </c>
      <c r="G16" s="1" t="s">
        <v>83</v>
      </c>
      <c r="H16" s="11">
        <v>19</v>
      </c>
      <c r="I16" s="11">
        <v>17</v>
      </c>
      <c r="J16" s="11">
        <v>3</v>
      </c>
      <c r="K16" s="12">
        <v>4.5</v>
      </c>
      <c r="L16" s="13">
        <v>15100</v>
      </c>
      <c r="M16" s="13">
        <v>13200</v>
      </c>
      <c r="N16" s="1" t="s">
        <v>36</v>
      </c>
    </row>
    <row r="17" spans="1:14">
      <c r="A17" s="1" t="s">
        <v>84</v>
      </c>
      <c r="B17" s="10">
        <v>45603</v>
      </c>
      <c r="C17" s="1" t="s">
        <v>85</v>
      </c>
      <c r="D17" s="1" t="s">
        <v>49</v>
      </c>
      <c r="E17" s="1" t="s">
        <v>63</v>
      </c>
      <c r="F17" s="1" t="s">
        <v>86</v>
      </c>
      <c r="G17" s="1" t="s">
        <v>87</v>
      </c>
      <c r="H17" s="11">
        <v>59</v>
      </c>
      <c r="I17" s="11">
        <v>37</v>
      </c>
      <c r="J17" s="11">
        <v>12</v>
      </c>
      <c r="K17" s="12">
        <v>3.7</v>
      </c>
      <c r="L17" s="13">
        <v>31200</v>
      </c>
      <c r="M17" s="13">
        <v>31700</v>
      </c>
      <c r="N17" s="1" t="s">
        <v>36</v>
      </c>
    </row>
    <row r="18" spans="1:14">
      <c r="A18" s="1" t="s">
        <v>88</v>
      </c>
      <c r="B18" s="10">
        <v>45603</v>
      </c>
      <c r="C18" s="1" t="s">
        <v>80</v>
      </c>
      <c r="D18" s="1" t="s">
        <v>44</v>
      </c>
      <c r="E18" s="1" t="s">
        <v>45</v>
      </c>
      <c r="F18" s="1" t="s">
        <v>55</v>
      </c>
      <c r="G18" s="1" t="s">
        <v>89</v>
      </c>
      <c r="H18" s="11">
        <v>178</v>
      </c>
      <c r="I18" s="11">
        <v>160</v>
      </c>
      <c r="J18" s="11">
        <v>160</v>
      </c>
      <c r="K18" s="12">
        <v>4.0999999999999996</v>
      </c>
      <c r="L18" s="13">
        <v>29900</v>
      </c>
      <c r="M18" s="13">
        <v>22100</v>
      </c>
      <c r="N18" s="1" t="s">
        <v>36</v>
      </c>
    </row>
    <row r="19" spans="1:14">
      <c r="A19" s="1" t="s">
        <v>90</v>
      </c>
      <c r="B19" s="10">
        <v>45606</v>
      </c>
      <c r="C19" s="1" t="s">
        <v>31</v>
      </c>
      <c r="D19" s="1" t="s">
        <v>32</v>
      </c>
      <c r="E19" s="1" t="s">
        <v>33</v>
      </c>
      <c r="F19" s="1" t="s">
        <v>64</v>
      </c>
      <c r="G19" s="1" t="s">
        <v>83</v>
      </c>
      <c r="H19" s="11">
        <v>46</v>
      </c>
      <c r="I19" s="11">
        <v>37</v>
      </c>
      <c r="J19" s="11">
        <v>210</v>
      </c>
      <c r="K19" s="12">
        <v>4.5999999999999996</v>
      </c>
      <c r="L19" s="13">
        <v>9200</v>
      </c>
      <c r="M19" s="13">
        <v>7900</v>
      </c>
      <c r="N19" s="1" t="s">
        <v>36</v>
      </c>
    </row>
    <row r="20" spans="1:14">
      <c r="A20" s="1" t="s">
        <v>91</v>
      </c>
      <c r="B20" s="10">
        <v>45607</v>
      </c>
      <c r="C20" s="1" t="s">
        <v>92</v>
      </c>
      <c r="D20" s="1" t="s">
        <v>44</v>
      </c>
      <c r="E20" s="1" t="s">
        <v>40</v>
      </c>
      <c r="F20" s="1" t="s">
        <v>86</v>
      </c>
      <c r="G20" s="1" t="s">
        <v>93</v>
      </c>
      <c r="H20" s="11">
        <v>54</v>
      </c>
      <c r="I20" s="11">
        <v>28</v>
      </c>
      <c r="J20" s="11">
        <v>44</v>
      </c>
      <c r="K20" s="12">
        <v>3.7</v>
      </c>
      <c r="L20" s="13">
        <v>25000</v>
      </c>
      <c r="M20" s="13">
        <v>19400</v>
      </c>
      <c r="N20" s="1" t="s">
        <v>36</v>
      </c>
    </row>
    <row r="21" spans="1:14">
      <c r="A21" s="1" t="s">
        <v>94</v>
      </c>
      <c r="B21" s="10">
        <v>45607</v>
      </c>
      <c r="C21" s="1" t="s">
        <v>95</v>
      </c>
      <c r="D21" s="1" t="s">
        <v>59</v>
      </c>
      <c r="E21" s="1" t="s">
        <v>63</v>
      </c>
      <c r="F21" s="1" t="s">
        <v>64</v>
      </c>
      <c r="G21" s="1" t="s">
        <v>65</v>
      </c>
      <c r="H21" s="11">
        <v>25</v>
      </c>
      <c r="I21" s="11">
        <v>20</v>
      </c>
      <c r="J21" s="11">
        <v>4</v>
      </c>
      <c r="K21" s="12">
        <v>3.5</v>
      </c>
      <c r="L21" s="13">
        <v>15500</v>
      </c>
      <c r="M21" s="13">
        <v>16700</v>
      </c>
      <c r="N21" s="1" t="s">
        <v>36</v>
      </c>
    </row>
    <row r="22" spans="1:14">
      <c r="A22" s="1" t="s">
        <v>96</v>
      </c>
      <c r="B22" s="10">
        <v>45608</v>
      </c>
      <c r="C22" s="1" t="s">
        <v>97</v>
      </c>
      <c r="D22" s="1" t="s">
        <v>49</v>
      </c>
      <c r="E22" s="1" t="s">
        <v>50</v>
      </c>
      <c r="F22" s="1" t="s">
        <v>77</v>
      </c>
      <c r="G22" s="1" t="s">
        <v>98</v>
      </c>
      <c r="H22" s="11">
        <v>67</v>
      </c>
      <c r="I22" s="11">
        <v>60</v>
      </c>
      <c r="J22" s="11">
        <v>20</v>
      </c>
      <c r="K22" s="12">
        <v>4.5</v>
      </c>
      <c r="L22" s="13">
        <v>42700</v>
      </c>
      <c r="M22" s="13">
        <v>34700</v>
      </c>
      <c r="N22" s="1" t="s">
        <v>36</v>
      </c>
    </row>
    <row r="23" spans="1:14">
      <c r="A23" s="1" t="s">
        <v>99</v>
      </c>
      <c r="B23" s="10">
        <v>45608</v>
      </c>
      <c r="C23" s="1" t="s">
        <v>48</v>
      </c>
      <c r="D23" s="1" t="s">
        <v>49</v>
      </c>
      <c r="E23" s="1" t="s">
        <v>50</v>
      </c>
      <c r="F23" s="1" t="s">
        <v>55</v>
      </c>
      <c r="G23" s="1" t="s">
        <v>100</v>
      </c>
      <c r="H23" s="11">
        <v>29</v>
      </c>
      <c r="I23" s="11">
        <v>24</v>
      </c>
      <c r="J23" s="11">
        <v>13</v>
      </c>
      <c r="K23" s="12">
        <v>4.5</v>
      </c>
      <c r="L23" s="13">
        <v>74300</v>
      </c>
      <c r="M23" s="13">
        <v>76000</v>
      </c>
      <c r="N23" s="1" t="s">
        <v>36</v>
      </c>
    </row>
    <row r="24" spans="1:14">
      <c r="A24" s="1" t="s">
        <v>101</v>
      </c>
      <c r="B24" s="10">
        <v>45611</v>
      </c>
      <c r="C24" s="1" t="s">
        <v>102</v>
      </c>
      <c r="D24" s="1" t="s">
        <v>49</v>
      </c>
      <c r="E24" s="1" t="s">
        <v>50</v>
      </c>
      <c r="F24" s="1" t="s">
        <v>77</v>
      </c>
      <c r="G24" s="1" t="s">
        <v>98</v>
      </c>
      <c r="H24" s="11">
        <v>80</v>
      </c>
      <c r="I24" s="11">
        <v>70</v>
      </c>
      <c r="J24" s="11">
        <v>22</v>
      </c>
      <c r="K24" s="12">
        <v>4.4000000000000004</v>
      </c>
      <c r="L24" s="13">
        <v>60800</v>
      </c>
      <c r="M24" s="13">
        <v>43700</v>
      </c>
      <c r="N24" s="1" t="s">
        <v>36</v>
      </c>
    </row>
    <row r="25" spans="1:14">
      <c r="A25" s="1" t="s">
        <v>103</v>
      </c>
      <c r="B25" s="10">
        <v>45615</v>
      </c>
      <c r="C25" s="1" t="s">
        <v>104</v>
      </c>
      <c r="D25" s="1" t="s">
        <v>105</v>
      </c>
      <c r="E25" s="1" t="s">
        <v>45</v>
      </c>
      <c r="F25" s="1" t="s">
        <v>77</v>
      </c>
      <c r="G25" s="1" t="s">
        <v>78</v>
      </c>
      <c r="H25" s="11">
        <v>62</v>
      </c>
      <c r="I25" s="11">
        <v>50</v>
      </c>
      <c r="J25" s="11">
        <v>52</v>
      </c>
      <c r="K25" s="12">
        <v>4</v>
      </c>
      <c r="L25" s="13">
        <v>26200</v>
      </c>
      <c r="M25" s="13">
        <v>19300</v>
      </c>
      <c r="N25" s="1" t="s">
        <v>36</v>
      </c>
    </row>
    <row r="26" spans="1:14">
      <c r="A26" s="1" t="s">
        <v>106</v>
      </c>
      <c r="B26" s="10">
        <v>45616</v>
      </c>
      <c r="C26" s="1" t="s">
        <v>104</v>
      </c>
      <c r="D26" s="1" t="s">
        <v>105</v>
      </c>
      <c r="E26" s="1" t="s">
        <v>45</v>
      </c>
      <c r="F26" s="1" t="s">
        <v>77</v>
      </c>
      <c r="G26" s="1" t="s">
        <v>78</v>
      </c>
      <c r="H26" s="11">
        <v>66</v>
      </c>
      <c r="I26" s="11">
        <v>61</v>
      </c>
      <c r="J26" s="11">
        <v>68</v>
      </c>
      <c r="K26" s="12"/>
      <c r="L26" s="13">
        <v>35700</v>
      </c>
      <c r="M26" s="13">
        <v>26800</v>
      </c>
      <c r="N26" s="1" t="s">
        <v>36</v>
      </c>
    </row>
    <row r="27" spans="1:14">
      <c r="A27" s="1" t="s">
        <v>107</v>
      </c>
      <c r="B27" s="10">
        <v>45618</v>
      </c>
      <c r="C27" s="1" t="s">
        <v>108</v>
      </c>
      <c r="D27" s="1" t="s">
        <v>105</v>
      </c>
      <c r="E27" s="1" t="s">
        <v>45</v>
      </c>
      <c r="F27" s="1" t="s">
        <v>64</v>
      </c>
      <c r="G27" s="1" t="s">
        <v>109</v>
      </c>
      <c r="H27" s="11">
        <v>166</v>
      </c>
      <c r="I27" s="11">
        <v>133</v>
      </c>
      <c r="J27" s="11">
        <v>72</v>
      </c>
      <c r="K27" s="12">
        <v>3.9</v>
      </c>
      <c r="L27" s="13">
        <v>41300</v>
      </c>
      <c r="M27" s="13">
        <v>34400</v>
      </c>
      <c r="N27" s="1" t="s">
        <v>36</v>
      </c>
    </row>
    <row r="28" spans="1:14">
      <c r="A28" s="1" t="s">
        <v>110</v>
      </c>
      <c r="B28" s="10">
        <v>45618</v>
      </c>
      <c r="C28" s="1" t="s">
        <v>111</v>
      </c>
      <c r="D28" s="1" t="s">
        <v>59</v>
      </c>
      <c r="E28" s="1" t="s">
        <v>60</v>
      </c>
      <c r="F28" s="1" t="s">
        <v>34</v>
      </c>
      <c r="G28" s="1" t="s">
        <v>46</v>
      </c>
      <c r="H28" s="11">
        <v>27</v>
      </c>
      <c r="I28" s="11">
        <v>23</v>
      </c>
      <c r="J28" s="11">
        <v>6</v>
      </c>
      <c r="K28" s="12">
        <v>3.7</v>
      </c>
      <c r="L28" s="13">
        <v>5100</v>
      </c>
      <c r="M28" s="13">
        <v>5500</v>
      </c>
      <c r="N28" s="1" t="s">
        <v>36</v>
      </c>
    </row>
    <row r="29" spans="1:14">
      <c r="A29" s="1" t="s">
        <v>112</v>
      </c>
      <c r="B29" s="10">
        <v>45618</v>
      </c>
      <c r="C29" s="1" t="s">
        <v>58</v>
      </c>
      <c r="D29" s="1" t="s">
        <v>82</v>
      </c>
      <c r="E29" s="1" t="s">
        <v>60</v>
      </c>
      <c r="F29" s="1" t="s">
        <v>34</v>
      </c>
      <c r="G29" s="1" t="s">
        <v>46</v>
      </c>
      <c r="H29" s="11">
        <v>19</v>
      </c>
      <c r="I29" s="11">
        <v>16</v>
      </c>
      <c r="J29" s="11">
        <v>5</v>
      </c>
      <c r="K29" s="12">
        <v>4.0999999999999996</v>
      </c>
      <c r="L29" s="13">
        <v>4100</v>
      </c>
      <c r="M29" s="13">
        <v>3300</v>
      </c>
      <c r="N29" s="1" t="s">
        <v>36</v>
      </c>
    </row>
    <row r="30" spans="1:14">
      <c r="A30" s="1" t="s">
        <v>113</v>
      </c>
      <c r="B30" s="10">
        <v>45618</v>
      </c>
      <c r="C30" s="1" t="s">
        <v>74</v>
      </c>
      <c r="D30" s="1" t="s">
        <v>39</v>
      </c>
      <c r="E30" s="1" t="s">
        <v>40</v>
      </c>
      <c r="F30" s="1" t="s">
        <v>51</v>
      </c>
      <c r="G30" s="1" t="s">
        <v>52</v>
      </c>
      <c r="H30" s="11">
        <v>84</v>
      </c>
      <c r="I30" s="11">
        <v>77</v>
      </c>
      <c r="J30" s="11">
        <v>70</v>
      </c>
      <c r="K30" s="12">
        <v>4.3</v>
      </c>
      <c r="L30" s="13">
        <v>19400</v>
      </c>
      <c r="M30" s="13">
        <v>20000</v>
      </c>
      <c r="N30" s="1" t="s">
        <v>36</v>
      </c>
    </row>
    <row r="31" spans="1:14">
      <c r="A31" s="1" t="s">
        <v>114</v>
      </c>
      <c r="B31" s="10">
        <v>45625</v>
      </c>
      <c r="C31" s="1" t="s">
        <v>115</v>
      </c>
      <c r="D31" s="1" t="s">
        <v>59</v>
      </c>
      <c r="E31" s="1" t="s">
        <v>63</v>
      </c>
      <c r="F31" s="1" t="s">
        <v>51</v>
      </c>
      <c r="G31" s="1" t="s">
        <v>70</v>
      </c>
      <c r="H31" s="11">
        <v>65</v>
      </c>
      <c r="I31" s="11">
        <v>53</v>
      </c>
      <c r="J31" s="11">
        <v>18</v>
      </c>
      <c r="K31" s="12">
        <v>3.6</v>
      </c>
      <c r="L31" s="13">
        <v>34600</v>
      </c>
      <c r="M31" s="13">
        <v>23600</v>
      </c>
      <c r="N31" s="1" t="s">
        <v>36</v>
      </c>
    </row>
    <row r="32" spans="1:14">
      <c r="A32" s="1" t="s">
        <v>116</v>
      </c>
      <c r="B32" s="10">
        <v>45627</v>
      </c>
      <c r="C32" s="1" t="s">
        <v>92</v>
      </c>
      <c r="D32" s="1" t="s">
        <v>32</v>
      </c>
      <c r="E32" s="1" t="s">
        <v>40</v>
      </c>
      <c r="F32" s="1" t="s">
        <v>34</v>
      </c>
      <c r="G32" s="1" t="s">
        <v>46</v>
      </c>
      <c r="H32" s="11">
        <v>121</v>
      </c>
      <c r="I32" s="11">
        <v>98</v>
      </c>
      <c r="J32" s="11">
        <v>151</v>
      </c>
      <c r="K32" s="12">
        <v>4</v>
      </c>
      <c r="L32" s="13">
        <v>31500</v>
      </c>
      <c r="M32" s="13">
        <v>31300</v>
      </c>
      <c r="N32" s="1" t="s">
        <v>36</v>
      </c>
    </row>
    <row r="33" spans="1:14">
      <c r="A33" s="1" t="s">
        <v>117</v>
      </c>
      <c r="B33" s="10">
        <v>45628</v>
      </c>
      <c r="C33" s="1" t="s">
        <v>118</v>
      </c>
      <c r="D33" s="1" t="s">
        <v>59</v>
      </c>
      <c r="E33" s="1" t="s">
        <v>63</v>
      </c>
      <c r="F33" s="1" t="s">
        <v>77</v>
      </c>
      <c r="G33" s="1" t="s">
        <v>98</v>
      </c>
      <c r="H33" s="11">
        <v>61</v>
      </c>
      <c r="I33" s="11">
        <v>52</v>
      </c>
      <c r="J33" s="11">
        <v>14</v>
      </c>
      <c r="K33" s="12">
        <v>3.4</v>
      </c>
      <c r="L33" s="13">
        <v>14400</v>
      </c>
      <c r="M33" s="13">
        <v>16100</v>
      </c>
      <c r="N33" s="1" t="s">
        <v>36</v>
      </c>
    </row>
    <row r="34" spans="1:14">
      <c r="A34" s="1" t="s">
        <v>119</v>
      </c>
      <c r="B34" s="10">
        <v>45629</v>
      </c>
      <c r="C34" s="1" t="s">
        <v>54</v>
      </c>
      <c r="D34" s="1" t="s">
        <v>44</v>
      </c>
      <c r="E34" s="1" t="s">
        <v>40</v>
      </c>
      <c r="F34" s="1" t="s">
        <v>64</v>
      </c>
      <c r="G34" s="1" t="s">
        <v>65</v>
      </c>
      <c r="H34" s="11">
        <v>62</v>
      </c>
      <c r="I34" s="11">
        <v>51</v>
      </c>
      <c r="J34" s="11">
        <v>96</v>
      </c>
      <c r="K34" s="12">
        <v>4.3</v>
      </c>
      <c r="L34" s="13">
        <v>32300</v>
      </c>
      <c r="M34" s="13">
        <v>24000</v>
      </c>
      <c r="N34" s="1" t="s">
        <v>36</v>
      </c>
    </row>
    <row r="35" spans="1:14">
      <c r="A35" s="1" t="s">
        <v>120</v>
      </c>
      <c r="B35" s="10">
        <v>45631</v>
      </c>
      <c r="C35" s="1" t="s">
        <v>121</v>
      </c>
      <c r="D35" s="1" t="s">
        <v>59</v>
      </c>
      <c r="E35" s="1" t="s">
        <v>63</v>
      </c>
      <c r="F35" s="1" t="s">
        <v>34</v>
      </c>
      <c r="G35" s="1" t="s">
        <v>35</v>
      </c>
      <c r="H35" s="11">
        <v>61</v>
      </c>
      <c r="I35" s="11">
        <v>55</v>
      </c>
      <c r="J35" s="11">
        <v>16</v>
      </c>
      <c r="K35" s="12">
        <v>3.5</v>
      </c>
      <c r="L35" s="13">
        <v>15500</v>
      </c>
      <c r="M35" s="13">
        <v>13700</v>
      </c>
      <c r="N35" s="1" t="s">
        <v>36</v>
      </c>
    </row>
    <row r="36" spans="1:14">
      <c r="A36" s="1" t="s">
        <v>122</v>
      </c>
      <c r="B36" s="10">
        <v>45631</v>
      </c>
      <c r="C36" s="1" t="s">
        <v>123</v>
      </c>
      <c r="D36" s="1" t="s">
        <v>44</v>
      </c>
      <c r="E36" s="1" t="s">
        <v>45</v>
      </c>
      <c r="F36" s="1" t="s">
        <v>77</v>
      </c>
      <c r="G36" s="1" t="s">
        <v>78</v>
      </c>
      <c r="H36" s="11">
        <v>108</v>
      </c>
      <c r="I36" s="11">
        <v>90</v>
      </c>
      <c r="J36" s="11">
        <v>90</v>
      </c>
      <c r="K36" s="12"/>
      <c r="L36" s="13">
        <v>33900</v>
      </c>
      <c r="M36" s="13">
        <v>32300</v>
      </c>
      <c r="N36" s="1" t="s">
        <v>36</v>
      </c>
    </row>
    <row r="37" spans="1:14">
      <c r="A37" s="1" t="s">
        <v>124</v>
      </c>
      <c r="B37" s="10">
        <v>45635</v>
      </c>
      <c r="C37" s="1" t="s">
        <v>125</v>
      </c>
      <c r="D37" s="1" t="s">
        <v>49</v>
      </c>
      <c r="E37" s="1" t="s">
        <v>63</v>
      </c>
      <c r="F37" s="1" t="s">
        <v>55</v>
      </c>
      <c r="G37" s="1" t="s">
        <v>89</v>
      </c>
      <c r="H37" s="11">
        <v>60</v>
      </c>
      <c r="I37" s="11">
        <v>54</v>
      </c>
      <c r="J37" s="11">
        <v>8</v>
      </c>
      <c r="K37" s="12">
        <v>4.2</v>
      </c>
      <c r="L37" s="13">
        <v>20900</v>
      </c>
      <c r="M37" s="13">
        <v>18000</v>
      </c>
      <c r="N37" s="1" t="s">
        <v>36</v>
      </c>
    </row>
    <row r="38" spans="1:14">
      <c r="A38" s="1" t="s">
        <v>126</v>
      </c>
      <c r="B38" s="10">
        <v>45639</v>
      </c>
      <c r="C38" s="1" t="s">
        <v>74</v>
      </c>
      <c r="D38" s="1" t="s">
        <v>39</v>
      </c>
      <c r="E38" s="1" t="s">
        <v>40</v>
      </c>
      <c r="F38" s="1" t="s">
        <v>51</v>
      </c>
      <c r="G38" s="1" t="s">
        <v>70</v>
      </c>
      <c r="H38" s="11">
        <v>97</v>
      </c>
      <c r="I38" s="11">
        <v>83</v>
      </c>
      <c r="J38" s="11">
        <v>81</v>
      </c>
      <c r="K38" s="12">
        <v>4.3</v>
      </c>
      <c r="L38" s="13">
        <v>50800</v>
      </c>
      <c r="M38" s="13">
        <v>52200</v>
      </c>
      <c r="N38" s="1" t="s">
        <v>36</v>
      </c>
    </row>
    <row r="39" spans="1:14">
      <c r="A39" s="1" t="s">
        <v>127</v>
      </c>
      <c r="B39" s="10">
        <v>45640</v>
      </c>
      <c r="C39" s="1" t="s">
        <v>67</v>
      </c>
      <c r="D39" s="1" t="s">
        <v>32</v>
      </c>
      <c r="E39" s="1" t="s">
        <v>40</v>
      </c>
      <c r="F39" s="1" t="s">
        <v>55</v>
      </c>
      <c r="G39" s="1" t="s">
        <v>89</v>
      </c>
      <c r="H39" s="11">
        <v>130</v>
      </c>
      <c r="I39" s="11">
        <v>109</v>
      </c>
      <c r="J39" s="11">
        <v>116</v>
      </c>
      <c r="K39" s="12">
        <v>4.0999999999999996</v>
      </c>
      <c r="L39" s="13">
        <v>31000</v>
      </c>
      <c r="M39" s="13">
        <v>23200</v>
      </c>
      <c r="N39" s="1" t="s">
        <v>36</v>
      </c>
    </row>
    <row r="40" spans="1:14">
      <c r="A40" s="1" t="s">
        <v>128</v>
      </c>
      <c r="B40" s="10">
        <v>45645</v>
      </c>
      <c r="C40" s="1" t="s">
        <v>121</v>
      </c>
      <c r="D40" s="1" t="s">
        <v>59</v>
      </c>
      <c r="E40" s="1" t="s">
        <v>63</v>
      </c>
      <c r="F40" s="1" t="s">
        <v>55</v>
      </c>
      <c r="G40" s="1" t="s">
        <v>56</v>
      </c>
      <c r="H40" s="11">
        <v>24</v>
      </c>
      <c r="I40" s="11">
        <v>22</v>
      </c>
      <c r="J40" s="11">
        <v>4</v>
      </c>
      <c r="K40" s="12">
        <v>3.4</v>
      </c>
      <c r="L40" s="13">
        <v>30600</v>
      </c>
      <c r="M40" s="13">
        <v>32600</v>
      </c>
      <c r="N40" s="1" t="s">
        <v>36</v>
      </c>
    </row>
    <row r="41" spans="1:14">
      <c r="A41" s="1" t="s">
        <v>129</v>
      </c>
      <c r="B41" s="10">
        <v>45650</v>
      </c>
      <c r="C41" s="1" t="s">
        <v>102</v>
      </c>
      <c r="D41" s="1" t="s">
        <v>49</v>
      </c>
      <c r="E41" s="1" t="s">
        <v>50</v>
      </c>
      <c r="F41" s="1" t="s">
        <v>51</v>
      </c>
      <c r="G41" s="1" t="s">
        <v>52</v>
      </c>
      <c r="H41" s="11">
        <v>51</v>
      </c>
      <c r="I41" s="11">
        <v>59</v>
      </c>
      <c r="J41" s="11">
        <v>28</v>
      </c>
      <c r="K41" s="12">
        <v>4.2</v>
      </c>
      <c r="L41" s="13">
        <v>52300</v>
      </c>
      <c r="M41" s="13">
        <v>44300</v>
      </c>
      <c r="N41" s="1" t="s">
        <v>36</v>
      </c>
    </row>
    <row r="42" spans="1:14">
      <c r="A42" s="1" t="s">
        <v>130</v>
      </c>
      <c r="B42" s="10">
        <v>45651</v>
      </c>
      <c r="C42" s="1" t="s">
        <v>54</v>
      </c>
      <c r="D42" s="1" t="s">
        <v>44</v>
      </c>
      <c r="E42" s="1" t="s">
        <v>40</v>
      </c>
      <c r="F42" s="1" t="s">
        <v>77</v>
      </c>
      <c r="G42" s="1" t="s">
        <v>78</v>
      </c>
      <c r="H42" s="11">
        <v>113</v>
      </c>
      <c r="I42" s="11">
        <v>97</v>
      </c>
      <c r="J42" s="11">
        <v>133</v>
      </c>
      <c r="K42" s="12">
        <v>3.9</v>
      </c>
      <c r="L42" s="13">
        <v>50700</v>
      </c>
      <c r="M42" s="13">
        <v>53200</v>
      </c>
      <c r="N42" s="1" t="s">
        <v>36</v>
      </c>
    </row>
    <row r="43" spans="1:14">
      <c r="A43" s="1" t="s">
        <v>131</v>
      </c>
      <c r="B43" s="10">
        <v>45651</v>
      </c>
      <c r="C43" s="1" t="s">
        <v>58</v>
      </c>
      <c r="D43" s="1" t="s">
        <v>59</v>
      </c>
      <c r="E43" s="1" t="s">
        <v>60</v>
      </c>
      <c r="F43" s="1" t="s">
        <v>64</v>
      </c>
      <c r="G43" s="1" t="s">
        <v>83</v>
      </c>
      <c r="H43" s="11">
        <v>35</v>
      </c>
      <c r="I43" s="11">
        <v>32</v>
      </c>
      <c r="J43" s="11">
        <v>8</v>
      </c>
      <c r="K43" s="12">
        <v>3.7</v>
      </c>
      <c r="L43" s="13">
        <v>13800</v>
      </c>
      <c r="M43" s="13">
        <v>15200</v>
      </c>
      <c r="N43" s="1" t="s">
        <v>36</v>
      </c>
    </row>
    <row r="44" spans="1:14">
      <c r="A44" s="1" t="s">
        <v>132</v>
      </c>
      <c r="B44" s="10">
        <v>45652</v>
      </c>
      <c r="C44" s="1" t="s">
        <v>133</v>
      </c>
      <c r="D44" s="1" t="s">
        <v>32</v>
      </c>
      <c r="E44" s="1" t="s">
        <v>33</v>
      </c>
      <c r="F44" s="1" t="s">
        <v>34</v>
      </c>
      <c r="G44" s="1" t="s">
        <v>35</v>
      </c>
      <c r="H44" s="11">
        <v>29</v>
      </c>
      <c r="I44" s="11">
        <v>24</v>
      </c>
      <c r="J44" s="11">
        <v>88</v>
      </c>
      <c r="K44" s="12">
        <v>4.2</v>
      </c>
      <c r="L44" s="13">
        <v>19400</v>
      </c>
      <c r="M44" s="13">
        <v>18200</v>
      </c>
      <c r="N44" s="1" t="s">
        <v>36</v>
      </c>
    </row>
    <row r="45" spans="1:14">
      <c r="A45" s="1" t="s">
        <v>134</v>
      </c>
      <c r="B45" s="10">
        <v>45652</v>
      </c>
      <c r="C45" s="1" t="s">
        <v>115</v>
      </c>
      <c r="D45" s="1" t="s">
        <v>59</v>
      </c>
      <c r="E45" s="1" t="s">
        <v>63</v>
      </c>
      <c r="F45" s="1" t="s">
        <v>34</v>
      </c>
      <c r="G45" s="1" t="s">
        <v>46</v>
      </c>
      <c r="H45" s="11">
        <v>33</v>
      </c>
      <c r="I45" s="11">
        <v>30</v>
      </c>
      <c r="J45" s="11">
        <v>2</v>
      </c>
      <c r="K45" s="12">
        <v>3.7</v>
      </c>
      <c r="L45" s="13">
        <v>29600</v>
      </c>
      <c r="M45" s="13">
        <v>25600</v>
      </c>
      <c r="N45" s="1" t="s">
        <v>36</v>
      </c>
    </row>
    <row r="46" spans="1:14">
      <c r="A46" s="1" t="s">
        <v>135</v>
      </c>
      <c r="B46" s="10">
        <v>45657</v>
      </c>
      <c r="C46" s="1" t="s">
        <v>136</v>
      </c>
      <c r="D46" s="1" t="s">
        <v>39</v>
      </c>
      <c r="E46" s="1" t="s">
        <v>40</v>
      </c>
      <c r="F46" s="1" t="s">
        <v>51</v>
      </c>
      <c r="G46" s="1" t="s">
        <v>137</v>
      </c>
      <c r="H46" s="11">
        <v>133</v>
      </c>
      <c r="I46" s="11">
        <v>112</v>
      </c>
      <c r="J46" s="11">
        <v>166</v>
      </c>
      <c r="K46" s="12">
        <v>4.2</v>
      </c>
      <c r="L46" s="13">
        <v>56200</v>
      </c>
      <c r="M46" s="13">
        <v>59500</v>
      </c>
      <c r="N46" s="1" t="s">
        <v>36</v>
      </c>
    </row>
    <row r="47" spans="1:14">
      <c r="A47" s="1" t="s">
        <v>138</v>
      </c>
      <c r="B47" s="10">
        <v>45660</v>
      </c>
      <c r="C47" s="1" t="s">
        <v>92</v>
      </c>
      <c r="D47" s="1" t="s">
        <v>39</v>
      </c>
      <c r="E47" s="1" t="s">
        <v>40</v>
      </c>
      <c r="F47" s="1" t="s">
        <v>34</v>
      </c>
      <c r="G47" s="1" t="s">
        <v>35</v>
      </c>
      <c r="H47" s="11">
        <v>128</v>
      </c>
      <c r="I47" s="11">
        <v>109</v>
      </c>
      <c r="J47" s="11">
        <v>95</v>
      </c>
      <c r="K47" s="12">
        <v>4</v>
      </c>
      <c r="L47" s="13">
        <v>64300</v>
      </c>
      <c r="M47" s="13">
        <v>70200</v>
      </c>
      <c r="N47" s="1" t="s">
        <v>36</v>
      </c>
    </row>
    <row r="48" spans="1:14">
      <c r="A48" s="1" t="s">
        <v>139</v>
      </c>
      <c r="B48" s="10">
        <v>45666</v>
      </c>
      <c r="C48" s="1" t="s">
        <v>58</v>
      </c>
      <c r="D48" s="1" t="s">
        <v>82</v>
      </c>
      <c r="E48" s="1" t="s">
        <v>60</v>
      </c>
      <c r="F48" s="1" t="s">
        <v>64</v>
      </c>
      <c r="G48" s="1" t="s">
        <v>65</v>
      </c>
      <c r="H48" s="11">
        <v>27</v>
      </c>
      <c r="I48" s="11">
        <v>25</v>
      </c>
      <c r="J48" s="11">
        <v>7</v>
      </c>
      <c r="K48" s="12">
        <v>4.5999999999999996</v>
      </c>
      <c r="L48" s="13">
        <v>5000</v>
      </c>
      <c r="M48" s="13">
        <v>4600</v>
      </c>
      <c r="N48" s="1" t="s">
        <v>36</v>
      </c>
    </row>
    <row r="49" spans="1:14">
      <c r="A49" s="1" t="s">
        <v>140</v>
      </c>
      <c r="B49" s="10">
        <v>45667</v>
      </c>
      <c r="C49" s="1" t="s">
        <v>72</v>
      </c>
      <c r="D49" s="1" t="s">
        <v>59</v>
      </c>
      <c r="E49" s="1" t="s">
        <v>63</v>
      </c>
      <c r="F49" s="1" t="s">
        <v>55</v>
      </c>
      <c r="G49" s="1" t="s">
        <v>56</v>
      </c>
      <c r="H49" s="11">
        <v>38</v>
      </c>
      <c r="I49" s="11">
        <v>35</v>
      </c>
      <c r="J49" s="11">
        <v>12</v>
      </c>
      <c r="K49" s="12">
        <v>3.6</v>
      </c>
      <c r="L49" s="13">
        <v>13500</v>
      </c>
      <c r="M49" s="13">
        <v>10400</v>
      </c>
      <c r="N49" s="1" t="s">
        <v>36</v>
      </c>
    </row>
    <row r="50" spans="1:14">
      <c r="A50" s="1" t="s">
        <v>141</v>
      </c>
      <c r="B50" s="10">
        <v>45670</v>
      </c>
      <c r="C50" s="1" t="s">
        <v>54</v>
      </c>
      <c r="D50" s="1" t="s">
        <v>39</v>
      </c>
      <c r="E50" s="1" t="s">
        <v>40</v>
      </c>
      <c r="F50" s="1" t="s">
        <v>64</v>
      </c>
      <c r="G50" s="1" t="s">
        <v>109</v>
      </c>
      <c r="H50" s="11">
        <v>123</v>
      </c>
      <c r="I50" s="11">
        <v>105</v>
      </c>
      <c r="J50" s="11">
        <v>125</v>
      </c>
      <c r="K50" s="12">
        <v>4.0999999999999996</v>
      </c>
      <c r="L50" s="13">
        <v>16700</v>
      </c>
      <c r="M50" s="13">
        <v>13500</v>
      </c>
      <c r="N50" s="1" t="s">
        <v>36</v>
      </c>
    </row>
    <row r="51" spans="1:14">
      <c r="A51" s="1" t="s">
        <v>142</v>
      </c>
      <c r="B51" s="10">
        <v>45672</v>
      </c>
      <c r="C51" s="1" t="s">
        <v>143</v>
      </c>
      <c r="D51" s="1" t="s">
        <v>32</v>
      </c>
      <c r="E51" s="1" t="s">
        <v>33</v>
      </c>
      <c r="F51" s="1" t="s">
        <v>64</v>
      </c>
      <c r="G51" s="1" t="s">
        <v>109</v>
      </c>
      <c r="H51" s="11">
        <v>31</v>
      </c>
      <c r="I51" s="11">
        <v>26</v>
      </c>
      <c r="J51" s="11">
        <v>116</v>
      </c>
      <c r="K51" s="12">
        <v>4.7</v>
      </c>
      <c r="L51" s="13">
        <v>10700</v>
      </c>
      <c r="M51" s="13">
        <v>11500</v>
      </c>
      <c r="N51" s="1" t="s">
        <v>36</v>
      </c>
    </row>
    <row r="52" spans="1:14">
      <c r="A52" s="1" t="s">
        <v>144</v>
      </c>
      <c r="B52" s="10">
        <v>45674</v>
      </c>
      <c r="C52" s="1" t="s">
        <v>145</v>
      </c>
      <c r="D52" s="1" t="s">
        <v>59</v>
      </c>
      <c r="E52" s="1" t="s">
        <v>63</v>
      </c>
      <c r="F52" s="1" t="s">
        <v>64</v>
      </c>
      <c r="G52" s="1" t="s">
        <v>65</v>
      </c>
      <c r="H52" s="11">
        <v>59</v>
      </c>
      <c r="I52" s="11">
        <v>49</v>
      </c>
      <c r="J52" s="11">
        <v>19</v>
      </c>
      <c r="K52" s="12">
        <v>3.5</v>
      </c>
      <c r="L52" s="13">
        <v>33300</v>
      </c>
      <c r="M52" s="13">
        <v>37000</v>
      </c>
      <c r="N52" s="1" t="s">
        <v>36</v>
      </c>
    </row>
    <row r="53" spans="1:14">
      <c r="A53" s="1" t="s">
        <v>146</v>
      </c>
      <c r="B53" s="10">
        <v>45679</v>
      </c>
      <c r="C53" s="1" t="s">
        <v>147</v>
      </c>
      <c r="D53" s="1" t="s">
        <v>82</v>
      </c>
      <c r="E53" s="1" t="s">
        <v>60</v>
      </c>
      <c r="F53" s="1" t="s">
        <v>51</v>
      </c>
      <c r="G53" s="1" t="s">
        <v>137</v>
      </c>
      <c r="H53" s="11">
        <v>21</v>
      </c>
      <c r="I53" s="11">
        <v>0</v>
      </c>
      <c r="J53" s="11">
        <v>0</v>
      </c>
      <c r="K53" s="12"/>
      <c r="L53" s="13">
        <v>9100</v>
      </c>
      <c r="M53" s="13">
        <v>1600</v>
      </c>
      <c r="N53" s="1" t="s">
        <v>148</v>
      </c>
    </row>
    <row r="54" spans="1:14">
      <c r="A54" s="1" t="s">
        <v>149</v>
      </c>
      <c r="B54" s="10">
        <v>45679</v>
      </c>
      <c r="C54" s="1" t="s">
        <v>150</v>
      </c>
      <c r="D54" s="1" t="s">
        <v>32</v>
      </c>
      <c r="E54" s="1" t="s">
        <v>33</v>
      </c>
      <c r="F54" s="1" t="s">
        <v>34</v>
      </c>
      <c r="G54" s="1" t="s">
        <v>46</v>
      </c>
      <c r="H54" s="11">
        <v>56</v>
      </c>
      <c r="I54" s="11">
        <v>47</v>
      </c>
      <c r="J54" s="11">
        <v>186</v>
      </c>
      <c r="K54" s="12">
        <v>4.5</v>
      </c>
      <c r="L54" s="13">
        <v>10700</v>
      </c>
      <c r="M54" s="13">
        <v>8100</v>
      </c>
      <c r="N54" s="1" t="s">
        <v>36</v>
      </c>
    </row>
    <row r="55" spans="1:14">
      <c r="A55" s="1" t="s">
        <v>151</v>
      </c>
      <c r="B55" s="10">
        <v>45680</v>
      </c>
      <c r="C55" s="1" t="s">
        <v>95</v>
      </c>
      <c r="D55" s="1" t="s">
        <v>59</v>
      </c>
      <c r="E55" s="1" t="s">
        <v>63</v>
      </c>
      <c r="F55" s="1" t="s">
        <v>77</v>
      </c>
      <c r="G55" s="1" t="s">
        <v>98</v>
      </c>
      <c r="H55" s="11">
        <v>50</v>
      </c>
      <c r="I55" s="11">
        <v>41</v>
      </c>
      <c r="J55" s="11">
        <v>8</v>
      </c>
      <c r="K55" s="12"/>
      <c r="L55" s="13">
        <v>29300</v>
      </c>
      <c r="M55" s="13">
        <v>26500</v>
      </c>
      <c r="N55" s="1" t="s">
        <v>36</v>
      </c>
    </row>
    <row r="56" spans="1:14">
      <c r="A56" s="1" t="s">
        <v>152</v>
      </c>
      <c r="B56" s="10">
        <v>45681</v>
      </c>
      <c r="C56" s="1" t="s">
        <v>95</v>
      </c>
      <c r="D56" s="1" t="s">
        <v>82</v>
      </c>
      <c r="E56" s="1" t="s">
        <v>63</v>
      </c>
      <c r="F56" s="1" t="s">
        <v>34</v>
      </c>
      <c r="G56" s="1" t="s">
        <v>35</v>
      </c>
      <c r="H56" s="11">
        <v>54</v>
      </c>
      <c r="I56" s="11">
        <v>47</v>
      </c>
      <c r="J56" s="11">
        <v>19</v>
      </c>
      <c r="K56" s="12">
        <v>4.5</v>
      </c>
      <c r="L56" s="13">
        <v>10000</v>
      </c>
      <c r="M56" s="13">
        <v>8800</v>
      </c>
      <c r="N56" s="1" t="s">
        <v>36</v>
      </c>
    </row>
    <row r="57" spans="1:14">
      <c r="A57" s="1" t="s">
        <v>153</v>
      </c>
      <c r="B57" s="10">
        <v>45683</v>
      </c>
      <c r="C57" s="1" t="s">
        <v>76</v>
      </c>
      <c r="D57" s="1" t="s">
        <v>59</v>
      </c>
      <c r="E57" s="1" t="s">
        <v>63</v>
      </c>
      <c r="F57" s="1" t="s">
        <v>34</v>
      </c>
      <c r="G57" s="1" t="s">
        <v>41</v>
      </c>
      <c r="H57" s="11">
        <v>23</v>
      </c>
      <c r="I57" s="11">
        <v>21</v>
      </c>
      <c r="J57" s="11">
        <v>5</v>
      </c>
      <c r="K57" s="12">
        <v>3.7</v>
      </c>
      <c r="L57" s="13">
        <v>30800</v>
      </c>
      <c r="M57" s="13">
        <v>22300</v>
      </c>
      <c r="N57" s="1" t="s">
        <v>36</v>
      </c>
    </row>
    <row r="58" spans="1:14">
      <c r="A58" s="1" t="s">
        <v>154</v>
      </c>
      <c r="B58" s="10">
        <v>45685</v>
      </c>
      <c r="C58" s="1" t="s">
        <v>143</v>
      </c>
      <c r="D58" s="1" t="s">
        <v>32</v>
      </c>
      <c r="E58" s="1" t="s">
        <v>33</v>
      </c>
      <c r="F58" s="1" t="s">
        <v>64</v>
      </c>
      <c r="G58" s="1" t="s">
        <v>109</v>
      </c>
      <c r="H58" s="11">
        <v>57</v>
      </c>
      <c r="I58" s="11">
        <v>49</v>
      </c>
      <c r="J58" s="11">
        <v>268</v>
      </c>
      <c r="K58" s="12">
        <v>4.5999999999999996</v>
      </c>
      <c r="L58" s="13">
        <v>10100</v>
      </c>
      <c r="M58" s="13">
        <v>7000</v>
      </c>
      <c r="N58" s="1" t="s">
        <v>36</v>
      </c>
    </row>
    <row r="59" spans="1:14">
      <c r="A59" s="1" t="s">
        <v>155</v>
      </c>
      <c r="B59" s="10">
        <v>45686</v>
      </c>
      <c r="C59" s="1" t="s">
        <v>80</v>
      </c>
      <c r="D59" s="1" t="s">
        <v>44</v>
      </c>
      <c r="E59" s="1" t="s">
        <v>45</v>
      </c>
      <c r="F59" s="1" t="s">
        <v>64</v>
      </c>
      <c r="G59" s="1" t="s">
        <v>109</v>
      </c>
      <c r="H59" s="11">
        <v>57</v>
      </c>
      <c r="I59" s="11">
        <v>48</v>
      </c>
      <c r="J59" s="11">
        <v>56</v>
      </c>
      <c r="K59" s="12">
        <v>4</v>
      </c>
      <c r="L59" s="13">
        <v>24900</v>
      </c>
      <c r="M59" s="13">
        <v>17600</v>
      </c>
      <c r="N59" s="1" t="s">
        <v>36</v>
      </c>
    </row>
    <row r="60" spans="1:14">
      <c r="A60" s="1" t="s">
        <v>156</v>
      </c>
      <c r="B60" s="10">
        <v>45686</v>
      </c>
      <c r="C60" s="1" t="s">
        <v>108</v>
      </c>
      <c r="D60" s="1" t="s">
        <v>105</v>
      </c>
      <c r="E60" s="1" t="s">
        <v>45</v>
      </c>
      <c r="F60" s="1" t="s">
        <v>64</v>
      </c>
      <c r="G60" s="1" t="s">
        <v>83</v>
      </c>
      <c r="H60" s="11">
        <v>121</v>
      </c>
      <c r="I60" s="11">
        <v>103</v>
      </c>
      <c r="J60" s="11">
        <v>108</v>
      </c>
      <c r="K60" s="12">
        <v>4.3</v>
      </c>
      <c r="L60" s="13">
        <v>74600</v>
      </c>
      <c r="M60" s="13">
        <v>82800</v>
      </c>
      <c r="N60" s="1" t="s">
        <v>36</v>
      </c>
    </row>
    <row r="61" spans="1:14">
      <c r="A61" s="1" t="s">
        <v>157</v>
      </c>
      <c r="B61" s="10">
        <v>45686</v>
      </c>
      <c r="C61" s="1" t="s">
        <v>150</v>
      </c>
      <c r="D61" s="1" t="s">
        <v>32</v>
      </c>
      <c r="E61" s="1" t="s">
        <v>33</v>
      </c>
      <c r="F61" s="1" t="s">
        <v>51</v>
      </c>
      <c r="G61" s="1" t="s">
        <v>52</v>
      </c>
      <c r="H61" s="11">
        <v>24</v>
      </c>
      <c r="I61" s="11">
        <v>22</v>
      </c>
      <c r="J61" s="11">
        <v>114</v>
      </c>
      <c r="K61" s="12">
        <v>4.8</v>
      </c>
      <c r="L61" s="13">
        <v>13900</v>
      </c>
      <c r="M61" s="13">
        <v>10000</v>
      </c>
      <c r="N61" s="1" t="s">
        <v>36</v>
      </c>
    </row>
    <row r="62" spans="1:14">
      <c r="A62" s="1" t="s">
        <v>158</v>
      </c>
      <c r="B62" s="10">
        <v>45692</v>
      </c>
      <c r="C62" s="1" t="s">
        <v>159</v>
      </c>
      <c r="D62" s="1" t="s">
        <v>39</v>
      </c>
      <c r="E62" s="1" t="s">
        <v>45</v>
      </c>
      <c r="F62" s="1" t="s">
        <v>86</v>
      </c>
      <c r="G62" s="1" t="s">
        <v>93</v>
      </c>
      <c r="H62" s="11">
        <v>118</v>
      </c>
      <c r="I62" s="11">
        <v>69</v>
      </c>
      <c r="J62" s="11">
        <v>77</v>
      </c>
      <c r="K62" s="12">
        <v>4.3</v>
      </c>
      <c r="L62" s="13">
        <v>61400</v>
      </c>
      <c r="M62" s="13">
        <v>65900</v>
      </c>
      <c r="N62" s="1" t="s">
        <v>36</v>
      </c>
    </row>
    <row r="63" spans="1:14">
      <c r="A63" s="1" t="s">
        <v>160</v>
      </c>
      <c r="B63" s="10">
        <v>45694</v>
      </c>
      <c r="C63" s="1" t="s">
        <v>80</v>
      </c>
      <c r="D63" s="1" t="s">
        <v>105</v>
      </c>
      <c r="E63" s="1" t="s">
        <v>45</v>
      </c>
      <c r="F63" s="1" t="s">
        <v>64</v>
      </c>
      <c r="G63" s="1" t="s">
        <v>83</v>
      </c>
      <c r="H63" s="11">
        <v>92</v>
      </c>
      <c r="I63" s="11">
        <v>76</v>
      </c>
      <c r="J63" s="11">
        <v>77</v>
      </c>
      <c r="K63" s="12">
        <v>4.5</v>
      </c>
      <c r="L63" s="13">
        <v>82400</v>
      </c>
      <c r="M63" s="13">
        <v>63000</v>
      </c>
      <c r="N63" s="1" t="s">
        <v>36</v>
      </c>
    </row>
    <row r="64" spans="1:14">
      <c r="A64" s="1" t="s">
        <v>161</v>
      </c>
      <c r="B64" s="10">
        <v>45698</v>
      </c>
      <c r="C64" s="1" t="s">
        <v>159</v>
      </c>
      <c r="D64" s="1" t="s">
        <v>105</v>
      </c>
      <c r="E64" s="1" t="s">
        <v>45</v>
      </c>
      <c r="F64" s="1" t="s">
        <v>77</v>
      </c>
      <c r="G64" s="1" t="s">
        <v>98</v>
      </c>
      <c r="H64" s="11">
        <v>102</v>
      </c>
      <c r="I64" s="11">
        <v>92</v>
      </c>
      <c r="J64" s="11">
        <v>100</v>
      </c>
      <c r="K64" s="12">
        <v>4.0999999999999996</v>
      </c>
      <c r="L64" s="13">
        <v>58100</v>
      </c>
      <c r="M64" s="13">
        <v>42800</v>
      </c>
      <c r="N64" s="1" t="s">
        <v>36</v>
      </c>
    </row>
    <row r="65" spans="1:14">
      <c r="A65" s="1" t="s">
        <v>162</v>
      </c>
      <c r="B65" s="10">
        <v>45698</v>
      </c>
      <c r="C65" s="1" t="s">
        <v>163</v>
      </c>
      <c r="D65" s="1" t="s">
        <v>82</v>
      </c>
      <c r="E65" s="1" t="s">
        <v>60</v>
      </c>
      <c r="F65" s="1" t="s">
        <v>34</v>
      </c>
      <c r="G65" s="1" t="s">
        <v>35</v>
      </c>
      <c r="H65" s="11">
        <v>34</v>
      </c>
      <c r="I65" s="11">
        <v>31</v>
      </c>
      <c r="J65" s="11">
        <v>8</v>
      </c>
      <c r="K65" s="12">
        <v>4.3</v>
      </c>
      <c r="L65" s="13">
        <v>15100</v>
      </c>
      <c r="M65" s="13">
        <v>13100</v>
      </c>
      <c r="N65" s="1" t="s">
        <v>36</v>
      </c>
    </row>
    <row r="66" spans="1:14">
      <c r="A66" s="1" t="s">
        <v>164</v>
      </c>
      <c r="B66" s="10">
        <v>45698</v>
      </c>
      <c r="C66" s="1" t="s">
        <v>165</v>
      </c>
      <c r="D66" s="1" t="s">
        <v>49</v>
      </c>
      <c r="E66" s="1" t="s">
        <v>50</v>
      </c>
      <c r="F66" s="1" t="s">
        <v>55</v>
      </c>
      <c r="G66" s="1" t="s">
        <v>100</v>
      </c>
      <c r="H66" s="11">
        <v>28</v>
      </c>
      <c r="I66" s="11">
        <v>24</v>
      </c>
      <c r="J66" s="11">
        <v>10</v>
      </c>
      <c r="K66" s="12">
        <v>4.4000000000000004</v>
      </c>
      <c r="L66" s="13">
        <v>38000</v>
      </c>
      <c r="M66" s="13">
        <v>31200</v>
      </c>
      <c r="N66" s="1" t="s">
        <v>36</v>
      </c>
    </row>
    <row r="67" spans="1:14">
      <c r="A67" s="1" t="s">
        <v>166</v>
      </c>
      <c r="B67" s="10">
        <v>45698</v>
      </c>
      <c r="C67" s="1" t="s">
        <v>147</v>
      </c>
      <c r="D67" s="1" t="s">
        <v>59</v>
      </c>
      <c r="E67" s="1" t="s">
        <v>60</v>
      </c>
      <c r="F67" s="1" t="s">
        <v>51</v>
      </c>
      <c r="G67" s="1" t="s">
        <v>137</v>
      </c>
      <c r="H67" s="11">
        <v>18</v>
      </c>
      <c r="I67" s="11">
        <v>15</v>
      </c>
      <c r="J67" s="11">
        <v>3</v>
      </c>
      <c r="K67" s="12">
        <v>3.6</v>
      </c>
      <c r="L67" s="13">
        <v>4800</v>
      </c>
      <c r="M67" s="13">
        <v>4400</v>
      </c>
      <c r="N67" s="1" t="s">
        <v>36</v>
      </c>
    </row>
    <row r="68" spans="1:14">
      <c r="A68" s="1" t="s">
        <v>167</v>
      </c>
      <c r="B68" s="10">
        <v>45702</v>
      </c>
      <c r="C68" s="1" t="s">
        <v>168</v>
      </c>
      <c r="D68" s="1" t="s">
        <v>59</v>
      </c>
      <c r="E68" s="1" t="s">
        <v>60</v>
      </c>
      <c r="F68" s="1" t="s">
        <v>34</v>
      </c>
      <c r="G68" s="1" t="s">
        <v>41</v>
      </c>
      <c r="H68" s="11">
        <v>35</v>
      </c>
      <c r="I68" s="11">
        <v>41</v>
      </c>
      <c r="J68" s="11">
        <v>8</v>
      </c>
      <c r="K68" s="12">
        <v>3.6</v>
      </c>
      <c r="L68" s="13">
        <v>9900</v>
      </c>
      <c r="M68" s="13">
        <v>9200</v>
      </c>
      <c r="N68" s="1" t="s">
        <v>36</v>
      </c>
    </row>
    <row r="69" spans="1:14">
      <c r="A69" s="1" t="s">
        <v>169</v>
      </c>
      <c r="B69" s="10">
        <v>45702</v>
      </c>
      <c r="C69" s="1" t="s">
        <v>170</v>
      </c>
      <c r="D69" s="1" t="s">
        <v>59</v>
      </c>
      <c r="E69" s="1" t="s">
        <v>63</v>
      </c>
      <c r="F69" s="1" t="s">
        <v>64</v>
      </c>
      <c r="G69" s="1" t="s">
        <v>83</v>
      </c>
      <c r="H69" s="11">
        <v>57</v>
      </c>
      <c r="I69" s="11">
        <v>51</v>
      </c>
      <c r="J69" s="11">
        <v>20</v>
      </c>
      <c r="K69" s="12">
        <v>3.6</v>
      </c>
      <c r="L69" s="13">
        <v>16700</v>
      </c>
      <c r="M69" s="13">
        <v>13900</v>
      </c>
      <c r="N69" s="1" t="s">
        <v>36</v>
      </c>
    </row>
    <row r="70" spans="1:14">
      <c r="A70" s="1" t="s">
        <v>171</v>
      </c>
      <c r="B70" s="10">
        <v>45706</v>
      </c>
      <c r="C70" s="1" t="s">
        <v>92</v>
      </c>
      <c r="D70" s="1" t="s">
        <v>39</v>
      </c>
      <c r="E70" s="1" t="s">
        <v>40</v>
      </c>
      <c r="F70" s="1" t="s">
        <v>64</v>
      </c>
      <c r="G70" s="1" t="s">
        <v>65</v>
      </c>
      <c r="H70" s="11">
        <v>93</v>
      </c>
      <c r="I70" s="11">
        <v>81</v>
      </c>
      <c r="J70" s="11">
        <v>81</v>
      </c>
      <c r="K70" s="12">
        <v>3.9</v>
      </c>
      <c r="L70" s="13">
        <v>47300</v>
      </c>
      <c r="M70" s="13">
        <v>45800</v>
      </c>
      <c r="N70" s="1" t="s">
        <v>36</v>
      </c>
    </row>
    <row r="71" spans="1:14">
      <c r="A71" s="1" t="s">
        <v>172</v>
      </c>
      <c r="B71" s="10">
        <v>45707</v>
      </c>
      <c r="C71" s="1" t="s">
        <v>38</v>
      </c>
      <c r="D71" s="1" t="s">
        <v>44</v>
      </c>
      <c r="E71" s="1" t="s">
        <v>40</v>
      </c>
      <c r="F71" s="1" t="s">
        <v>55</v>
      </c>
      <c r="G71" s="1" t="s">
        <v>89</v>
      </c>
      <c r="H71" s="11">
        <v>139</v>
      </c>
      <c r="I71" s="11">
        <v>124</v>
      </c>
      <c r="J71" s="11">
        <v>150</v>
      </c>
      <c r="K71" s="12">
        <v>4.4000000000000004</v>
      </c>
      <c r="L71" s="13">
        <v>49400</v>
      </c>
      <c r="M71" s="13">
        <v>46700</v>
      </c>
      <c r="N71" s="1" t="s">
        <v>36</v>
      </c>
    </row>
    <row r="72" spans="1:14">
      <c r="A72" s="1" t="s">
        <v>173</v>
      </c>
      <c r="B72" s="10">
        <v>45708</v>
      </c>
      <c r="C72" s="1" t="s">
        <v>145</v>
      </c>
      <c r="D72" s="1" t="s">
        <v>49</v>
      </c>
      <c r="E72" s="1" t="s">
        <v>63</v>
      </c>
      <c r="F72" s="1" t="s">
        <v>51</v>
      </c>
      <c r="G72" s="1" t="s">
        <v>137</v>
      </c>
      <c r="H72" s="11">
        <v>41</v>
      </c>
      <c r="I72" s="11">
        <v>33</v>
      </c>
      <c r="J72" s="11">
        <v>8</v>
      </c>
      <c r="K72" s="12">
        <v>4.3</v>
      </c>
      <c r="L72" s="13">
        <v>13900</v>
      </c>
      <c r="M72" s="13">
        <v>11300</v>
      </c>
      <c r="N72" s="1" t="s">
        <v>36</v>
      </c>
    </row>
    <row r="73" spans="1:14">
      <c r="A73" s="1" t="s">
        <v>174</v>
      </c>
      <c r="B73" s="10">
        <v>45709</v>
      </c>
      <c r="C73" s="1" t="s">
        <v>121</v>
      </c>
      <c r="D73" s="1" t="s">
        <v>49</v>
      </c>
      <c r="E73" s="1" t="s">
        <v>63</v>
      </c>
      <c r="F73" s="1" t="s">
        <v>51</v>
      </c>
      <c r="G73" s="1" t="s">
        <v>70</v>
      </c>
      <c r="H73" s="11">
        <v>29</v>
      </c>
      <c r="I73" s="11">
        <v>24</v>
      </c>
      <c r="J73" s="11">
        <v>5</v>
      </c>
      <c r="K73" s="12">
        <v>4.0999999999999996</v>
      </c>
      <c r="L73" s="13">
        <v>29200</v>
      </c>
      <c r="M73" s="13">
        <v>25800</v>
      </c>
      <c r="N73" s="1" t="s">
        <v>36</v>
      </c>
    </row>
    <row r="74" spans="1:14">
      <c r="A74" s="1" t="s">
        <v>175</v>
      </c>
      <c r="B74" s="10">
        <v>45709</v>
      </c>
      <c r="C74" s="1" t="s">
        <v>143</v>
      </c>
      <c r="D74" s="1" t="s">
        <v>32</v>
      </c>
      <c r="E74" s="1" t="s">
        <v>33</v>
      </c>
      <c r="F74" s="1" t="s">
        <v>77</v>
      </c>
      <c r="G74" s="1" t="s">
        <v>78</v>
      </c>
      <c r="H74" s="11">
        <v>52</v>
      </c>
      <c r="I74" s="11">
        <v>43</v>
      </c>
      <c r="J74" s="11">
        <v>209</v>
      </c>
      <c r="K74" s="12">
        <v>4.2</v>
      </c>
      <c r="L74" s="13">
        <v>13300</v>
      </c>
      <c r="M74" s="13">
        <v>9800</v>
      </c>
      <c r="N74" s="1" t="s">
        <v>36</v>
      </c>
    </row>
    <row r="75" spans="1:14">
      <c r="A75" s="1" t="s">
        <v>176</v>
      </c>
      <c r="B75" s="10">
        <v>45713</v>
      </c>
      <c r="C75" s="1" t="s">
        <v>62</v>
      </c>
      <c r="D75" s="1" t="s">
        <v>49</v>
      </c>
      <c r="E75" s="1" t="s">
        <v>63</v>
      </c>
      <c r="F75" s="1" t="s">
        <v>34</v>
      </c>
      <c r="G75" s="1" t="s">
        <v>35</v>
      </c>
      <c r="H75" s="11">
        <v>43</v>
      </c>
      <c r="I75" s="11">
        <v>38</v>
      </c>
      <c r="J75" s="11">
        <v>15</v>
      </c>
      <c r="K75" s="12">
        <v>3.8</v>
      </c>
      <c r="L75" s="13">
        <v>26500</v>
      </c>
      <c r="M75" s="13">
        <v>26400</v>
      </c>
      <c r="N75" s="1" t="s">
        <v>36</v>
      </c>
    </row>
    <row r="76" spans="1:14">
      <c r="A76" s="1" t="s">
        <v>177</v>
      </c>
      <c r="B76" s="10">
        <v>45714</v>
      </c>
      <c r="C76" s="1" t="s">
        <v>168</v>
      </c>
      <c r="D76" s="1" t="s">
        <v>82</v>
      </c>
      <c r="E76" s="1" t="s">
        <v>60</v>
      </c>
      <c r="F76" s="1" t="s">
        <v>77</v>
      </c>
      <c r="G76" s="1" t="s">
        <v>78</v>
      </c>
      <c r="H76" s="11">
        <v>22</v>
      </c>
      <c r="I76" s="11">
        <v>20</v>
      </c>
      <c r="J76" s="11">
        <v>2</v>
      </c>
      <c r="K76" s="12">
        <v>4.0999999999999996</v>
      </c>
      <c r="L76" s="13">
        <v>6200</v>
      </c>
      <c r="M76" s="13">
        <v>5100</v>
      </c>
      <c r="N76" s="1" t="s">
        <v>36</v>
      </c>
    </row>
    <row r="77" spans="1:14">
      <c r="A77" s="1" t="s">
        <v>178</v>
      </c>
      <c r="B77" s="10">
        <v>45719</v>
      </c>
      <c r="C77" s="1" t="s">
        <v>179</v>
      </c>
      <c r="D77" s="1" t="s">
        <v>49</v>
      </c>
      <c r="E77" s="1" t="s">
        <v>50</v>
      </c>
      <c r="F77" s="1" t="s">
        <v>64</v>
      </c>
      <c r="G77" s="1" t="s">
        <v>109</v>
      </c>
      <c r="H77" s="11">
        <v>73</v>
      </c>
      <c r="I77" s="11">
        <v>40</v>
      </c>
      <c r="J77" s="11">
        <v>18</v>
      </c>
      <c r="K77" s="12">
        <v>4.5999999999999996</v>
      </c>
      <c r="L77" s="13">
        <v>40600</v>
      </c>
      <c r="M77" s="13">
        <v>28400</v>
      </c>
      <c r="N77" s="1" t="s">
        <v>36</v>
      </c>
    </row>
    <row r="78" spans="1:14">
      <c r="A78" s="1" t="s">
        <v>180</v>
      </c>
      <c r="B78" s="10">
        <v>45719</v>
      </c>
      <c r="C78" s="1" t="s">
        <v>43</v>
      </c>
      <c r="D78" s="1" t="s">
        <v>105</v>
      </c>
      <c r="E78" s="1" t="s">
        <v>45</v>
      </c>
      <c r="F78" s="1" t="s">
        <v>34</v>
      </c>
      <c r="G78" s="1" t="s">
        <v>41</v>
      </c>
      <c r="H78" s="11">
        <v>145</v>
      </c>
      <c r="I78" s="11">
        <v>135</v>
      </c>
      <c r="J78" s="11">
        <v>207</v>
      </c>
      <c r="K78" s="12">
        <v>4.3</v>
      </c>
      <c r="L78" s="13">
        <v>67500</v>
      </c>
      <c r="M78" s="13">
        <v>53600</v>
      </c>
      <c r="N78" s="1" t="s">
        <v>36</v>
      </c>
    </row>
    <row r="79" spans="1:14">
      <c r="A79" s="1" t="s">
        <v>181</v>
      </c>
      <c r="B79" s="10">
        <v>45721</v>
      </c>
      <c r="C79" s="1" t="s">
        <v>182</v>
      </c>
      <c r="D79" s="1" t="s">
        <v>32</v>
      </c>
      <c r="E79" s="1" t="s">
        <v>33</v>
      </c>
      <c r="F79" s="1" t="s">
        <v>51</v>
      </c>
      <c r="G79" s="1" t="s">
        <v>70</v>
      </c>
      <c r="H79" s="11">
        <v>22</v>
      </c>
      <c r="I79" s="11">
        <v>20</v>
      </c>
      <c r="J79" s="11">
        <v>166</v>
      </c>
      <c r="K79" s="12">
        <v>4.8</v>
      </c>
      <c r="L79" s="13">
        <v>8700</v>
      </c>
      <c r="M79" s="13">
        <v>7400</v>
      </c>
      <c r="N79" s="1" t="s">
        <v>36</v>
      </c>
    </row>
    <row r="80" spans="1:14">
      <c r="A80" s="1" t="s">
        <v>183</v>
      </c>
      <c r="B80" s="10">
        <v>45721</v>
      </c>
      <c r="C80" s="1" t="s">
        <v>31</v>
      </c>
      <c r="D80" s="1" t="s">
        <v>32</v>
      </c>
      <c r="E80" s="1" t="s">
        <v>33</v>
      </c>
      <c r="F80" s="1" t="s">
        <v>55</v>
      </c>
      <c r="G80" s="1" t="s">
        <v>100</v>
      </c>
      <c r="H80" s="11">
        <v>28</v>
      </c>
      <c r="I80" s="11">
        <v>0</v>
      </c>
      <c r="J80" s="11">
        <v>0</v>
      </c>
      <c r="K80" s="12"/>
      <c r="L80" s="13">
        <v>5200</v>
      </c>
      <c r="M80" s="13">
        <v>500</v>
      </c>
      <c r="N80" s="1" t="s">
        <v>148</v>
      </c>
    </row>
    <row r="81" spans="1:14">
      <c r="A81" s="1" t="s">
        <v>184</v>
      </c>
      <c r="B81" s="10">
        <v>45722</v>
      </c>
      <c r="C81" s="1" t="s">
        <v>48</v>
      </c>
      <c r="D81" s="1" t="s">
        <v>105</v>
      </c>
      <c r="E81" s="1" t="s">
        <v>50</v>
      </c>
      <c r="F81" s="1" t="s">
        <v>86</v>
      </c>
      <c r="G81" s="1" t="s">
        <v>87</v>
      </c>
      <c r="H81" s="11">
        <v>40</v>
      </c>
      <c r="I81" s="11">
        <v>13</v>
      </c>
      <c r="J81" s="11">
        <v>12</v>
      </c>
      <c r="K81" s="12">
        <v>3.8</v>
      </c>
      <c r="L81" s="13">
        <v>50900</v>
      </c>
      <c r="M81" s="13">
        <v>49600</v>
      </c>
      <c r="N81" s="1" t="s">
        <v>36</v>
      </c>
    </row>
    <row r="82" spans="1:14">
      <c r="A82" s="1" t="s">
        <v>185</v>
      </c>
      <c r="B82" s="10">
        <v>45722</v>
      </c>
      <c r="C82" s="1" t="s">
        <v>186</v>
      </c>
      <c r="D82" s="1" t="s">
        <v>32</v>
      </c>
      <c r="E82" s="1" t="s">
        <v>33</v>
      </c>
      <c r="F82" s="1" t="s">
        <v>55</v>
      </c>
      <c r="G82" s="1" t="s">
        <v>100</v>
      </c>
      <c r="H82" s="11">
        <v>24</v>
      </c>
      <c r="I82" s="11">
        <v>22</v>
      </c>
      <c r="J82" s="11">
        <v>350</v>
      </c>
      <c r="K82" s="12">
        <v>4.5999999999999996</v>
      </c>
      <c r="L82" s="13">
        <v>14300</v>
      </c>
      <c r="M82" s="13">
        <v>11700</v>
      </c>
      <c r="N82" s="1" t="s">
        <v>36</v>
      </c>
    </row>
    <row r="83" spans="1:14">
      <c r="A83" s="1" t="s">
        <v>187</v>
      </c>
      <c r="B83" s="10">
        <v>45727</v>
      </c>
      <c r="C83" s="1" t="s">
        <v>182</v>
      </c>
      <c r="D83" s="1" t="s">
        <v>32</v>
      </c>
      <c r="E83" s="1" t="s">
        <v>33</v>
      </c>
      <c r="F83" s="1" t="s">
        <v>55</v>
      </c>
      <c r="G83" s="1" t="s">
        <v>100</v>
      </c>
      <c r="H83" s="11">
        <v>27</v>
      </c>
      <c r="I83" s="11">
        <v>24</v>
      </c>
      <c r="J83" s="11">
        <v>285</v>
      </c>
      <c r="K83" s="12">
        <v>4.5999999999999996</v>
      </c>
      <c r="L83" s="13">
        <v>17300</v>
      </c>
      <c r="M83" s="13">
        <v>16900</v>
      </c>
      <c r="N83" s="1" t="s">
        <v>36</v>
      </c>
    </row>
    <row r="84" spans="1:14">
      <c r="A84" s="1" t="s">
        <v>188</v>
      </c>
      <c r="B84" s="10">
        <v>45733</v>
      </c>
      <c r="C84" s="1" t="s">
        <v>43</v>
      </c>
      <c r="D84" s="1" t="s">
        <v>39</v>
      </c>
      <c r="E84" s="1" t="s">
        <v>45</v>
      </c>
      <c r="F84" s="1" t="s">
        <v>77</v>
      </c>
      <c r="G84" s="1" t="s">
        <v>78</v>
      </c>
      <c r="H84" s="11">
        <v>160</v>
      </c>
      <c r="I84" s="11">
        <v>134</v>
      </c>
      <c r="J84" s="11">
        <v>174</v>
      </c>
      <c r="K84" s="12">
        <v>3.9</v>
      </c>
      <c r="L84" s="13">
        <v>63400</v>
      </c>
      <c r="M84" s="13">
        <v>69800</v>
      </c>
      <c r="N84" s="1" t="s">
        <v>36</v>
      </c>
    </row>
    <row r="85" spans="1:14">
      <c r="A85" s="1" t="s">
        <v>189</v>
      </c>
      <c r="B85" s="10">
        <v>45737</v>
      </c>
      <c r="C85" s="1" t="s">
        <v>67</v>
      </c>
      <c r="D85" s="1" t="s">
        <v>32</v>
      </c>
      <c r="E85" s="1" t="s">
        <v>40</v>
      </c>
      <c r="F85" s="1" t="s">
        <v>77</v>
      </c>
      <c r="G85" s="1" t="s">
        <v>98</v>
      </c>
      <c r="H85" s="11">
        <v>123</v>
      </c>
      <c r="I85" s="11">
        <v>112</v>
      </c>
      <c r="J85" s="11">
        <v>305</v>
      </c>
      <c r="K85" s="12">
        <v>3.7</v>
      </c>
      <c r="L85" s="13">
        <v>62700</v>
      </c>
      <c r="M85" s="13">
        <v>42900</v>
      </c>
      <c r="N85" s="1" t="s">
        <v>36</v>
      </c>
    </row>
    <row r="86" spans="1:14">
      <c r="A86" s="1" t="s">
        <v>190</v>
      </c>
      <c r="B86" s="10">
        <v>45742</v>
      </c>
      <c r="C86" s="1" t="s">
        <v>186</v>
      </c>
      <c r="D86" s="1" t="s">
        <v>32</v>
      </c>
      <c r="E86" s="1" t="s">
        <v>33</v>
      </c>
      <c r="F86" s="1" t="s">
        <v>77</v>
      </c>
      <c r="G86" s="1" t="s">
        <v>98</v>
      </c>
      <c r="H86" s="11">
        <v>32</v>
      </c>
      <c r="I86" s="11">
        <v>29</v>
      </c>
      <c r="J86" s="11">
        <v>282</v>
      </c>
      <c r="K86" s="12">
        <v>4.2</v>
      </c>
      <c r="L86" s="13">
        <v>19600</v>
      </c>
      <c r="M86" s="13">
        <v>19200</v>
      </c>
      <c r="N86" s="1" t="s">
        <v>36</v>
      </c>
    </row>
    <row r="87" spans="1:14">
      <c r="A87" s="1" t="s">
        <v>191</v>
      </c>
      <c r="B87" s="10">
        <v>45744</v>
      </c>
      <c r="C87" s="1" t="s">
        <v>67</v>
      </c>
      <c r="D87" s="1" t="s">
        <v>39</v>
      </c>
      <c r="E87" s="1" t="s">
        <v>40</v>
      </c>
      <c r="F87" s="1" t="s">
        <v>55</v>
      </c>
      <c r="G87" s="1" t="s">
        <v>89</v>
      </c>
      <c r="H87" s="11">
        <v>136</v>
      </c>
      <c r="I87" s="11">
        <v>124</v>
      </c>
      <c r="J87" s="11">
        <v>560</v>
      </c>
      <c r="K87" s="12">
        <v>4</v>
      </c>
      <c r="L87" s="13">
        <v>46500</v>
      </c>
      <c r="M87" s="13">
        <v>48700</v>
      </c>
      <c r="N87" s="1" t="s">
        <v>36</v>
      </c>
    </row>
    <row r="88" spans="1:14">
      <c r="A88" s="1" t="s">
        <v>192</v>
      </c>
      <c r="B88" s="10">
        <v>45744</v>
      </c>
      <c r="C88" s="1" t="s">
        <v>54</v>
      </c>
      <c r="D88" s="1" t="s">
        <v>44</v>
      </c>
      <c r="E88" s="1" t="s">
        <v>40</v>
      </c>
      <c r="F88" s="1" t="s">
        <v>86</v>
      </c>
      <c r="G88" s="1" t="s">
        <v>93</v>
      </c>
      <c r="H88" s="11">
        <v>53</v>
      </c>
      <c r="I88" s="11">
        <v>29</v>
      </c>
      <c r="J88" s="11">
        <v>108</v>
      </c>
      <c r="K88" s="12">
        <v>3.9</v>
      </c>
      <c r="L88" s="13">
        <v>44800</v>
      </c>
      <c r="M88" s="13">
        <v>33100</v>
      </c>
      <c r="N88" s="1" t="s">
        <v>36</v>
      </c>
    </row>
    <row r="89" spans="1:14">
      <c r="A89" s="1" t="s">
        <v>193</v>
      </c>
      <c r="B89" s="10">
        <v>45748</v>
      </c>
      <c r="C89" s="1" t="s">
        <v>85</v>
      </c>
      <c r="D89" s="1" t="s">
        <v>59</v>
      </c>
      <c r="E89" s="1" t="s">
        <v>63</v>
      </c>
      <c r="F89" s="1" t="s">
        <v>34</v>
      </c>
      <c r="G89" s="1" t="s">
        <v>46</v>
      </c>
      <c r="H89" s="11">
        <v>50</v>
      </c>
      <c r="I89" s="11">
        <v>45</v>
      </c>
      <c r="J89" s="11">
        <v>3</v>
      </c>
      <c r="K89" s="12">
        <v>3.8</v>
      </c>
      <c r="L89" s="13">
        <v>23300</v>
      </c>
      <c r="M89" s="13">
        <v>23300</v>
      </c>
      <c r="N89" s="1" t="s">
        <v>36</v>
      </c>
    </row>
    <row r="90" spans="1:14">
      <c r="A90" s="1" t="s">
        <v>194</v>
      </c>
      <c r="B90" s="10">
        <v>45749</v>
      </c>
      <c r="C90" s="1" t="s">
        <v>125</v>
      </c>
      <c r="D90" s="1" t="s">
        <v>59</v>
      </c>
      <c r="E90" s="1" t="s">
        <v>63</v>
      </c>
      <c r="F90" s="1" t="s">
        <v>55</v>
      </c>
      <c r="G90" s="1" t="s">
        <v>100</v>
      </c>
      <c r="H90" s="11">
        <v>29</v>
      </c>
      <c r="I90" s="11">
        <v>26</v>
      </c>
      <c r="J90" s="11">
        <v>12</v>
      </c>
      <c r="K90" s="12">
        <v>3.8</v>
      </c>
      <c r="L90" s="13">
        <v>10700</v>
      </c>
      <c r="M90" s="13">
        <v>11800</v>
      </c>
      <c r="N90" s="1" t="s">
        <v>36</v>
      </c>
    </row>
    <row r="91" spans="1:14">
      <c r="A91" s="1" t="s">
        <v>195</v>
      </c>
      <c r="B91" s="10">
        <v>45754</v>
      </c>
      <c r="C91" s="1" t="s">
        <v>115</v>
      </c>
      <c r="D91" s="1" t="s">
        <v>82</v>
      </c>
      <c r="E91" s="1" t="s">
        <v>63</v>
      </c>
      <c r="F91" s="1" t="s">
        <v>86</v>
      </c>
      <c r="G91" s="1" t="s">
        <v>93</v>
      </c>
      <c r="H91" s="11">
        <v>55</v>
      </c>
      <c r="I91" s="11">
        <v>33</v>
      </c>
      <c r="J91" s="11">
        <v>14</v>
      </c>
      <c r="K91" s="12">
        <v>4.2</v>
      </c>
      <c r="L91" s="13">
        <v>31700</v>
      </c>
      <c r="M91" s="13">
        <v>27700</v>
      </c>
      <c r="N91" s="1" t="s">
        <v>36</v>
      </c>
    </row>
    <row r="92" spans="1:14">
      <c r="A92" s="1" t="s">
        <v>196</v>
      </c>
      <c r="B92" s="10">
        <v>45755</v>
      </c>
      <c r="C92" s="1" t="s">
        <v>108</v>
      </c>
      <c r="D92" s="1" t="s">
        <v>44</v>
      </c>
      <c r="E92" s="1" t="s">
        <v>45</v>
      </c>
      <c r="F92" s="1" t="s">
        <v>51</v>
      </c>
      <c r="G92" s="1" t="s">
        <v>137</v>
      </c>
      <c r="H92" s="11">
        <v>172</v>
      </c>
      <c r="I92" s="11">
        <v>158</v>
      </c>
      <c r="J92" s="11">
        <v>130</v>
      </c>
      <c r="K92" s="12">
        <v>4</v>
      </c>
      <c r="L92" s="13">
        <v>22300</v>
      </c>
      <c r="M92" s="13">
        <v>21500</v>
      </c>
      <c r="N92" s="1" t="s">
        <v>36</v>
      </c>
    </row>
    <row r="93" spans="1:14">
      <c r="A93" s="1" t="s">
        <v>197</v>
      </c>
      <c r="B93" s="10">
        <v>45756</v>
      </c>
      <c r="C93" s="1" t="s">
        <v>118</v>
      </c>
      <c r="D93" s="1" t="s">
        <v>59</v>
      </c>
      <c r="E93" s="1" t="s">
        <v>63</v>
      </c>
      <c r="F93" s="1" t="s">
        <v>64</v>
      </c>
      <c r="G93" s="1" t="s">
        <v>83</v>
      </c>
      <c r="H93" s="11">
        <v>25</v>
      </c>
      <c r="I93" s="11">
        <v>23</v>
      </c>
      <c r="J93" s="11">
        <v>2</v>
      </c>
      <c r="K93" s="12">
        <v>3.7</v>
      </c>
      <c r="L93" s="13">
        <v>27500</v>
      </c>
      <c r="M93" s="13">
        <v>28000</v>
      </c>
      <c r="N93" s="1" t="s">
        <v>36</v>
      </c>
    </row>
    <row r="94" spans="1:14">
      <c r="A94" s="1" t="s">
        <v>198</v>
      </c>
      <c r="B94" s="10">
        <v>45758</v>
      </c>
      <c r="C94" s="1" t="s">
        <v>199</v>
      </c>
      <c r="D94" s="1" t="s">
        <v>44</v>
      </c>
      <c r="E94" s="1" t="s">
        <v>40</v>
      </c>
      <c r="F94" s="1" t="s">
        <v>34</v>
      </c>
      <c r="G94" s="1" t="s">
        <v>41</v>
      </c>
      <c r="H94" s="11">
        <v>108</v>
      </c>
      <c r="I94" s="11">
        <v>89</v>
      </c>
      <c r="J94" s="11">
        <v>107</v>
      </c>
      <c r="K94" s="12">
        <v>4.0999999999999996</v>
      </c>
      <c r="L94" s="13">
        <v>49900</v>
      </c>
      <c r="M94" s="13">
        <v>36400</v>
      </c>
      <c r="N94" s="1" t="s">
        <v>36</v>
      </c>
    </row>
    <row r="95" spans="1:14">
      <c r="A95" s="1" t="s">
        <v>200</v>
      </c>
      <c r="B95" s="10">
        <v>45762</v>
      </c>
      <c r="C95" s="1" t="s">
        <v>201</v>
      </c>
      <c r="D95" s="1" t="s">
        <v>39</v>
      </c>
      <c r="E95" s="1" t="s">
        <v>45</v>
      </c>
      <c r="F95" s="1" t="s">
        <v>64</v>
      </c>
      <c r="G95" s="1" t="s">
        <v>109</v>
      </c>
      <c r="H95" s="11">
        <v>140</v>
      </c>
      <c r="I95" s="11">
        <v>114</v>
      </c>
      <c r="J95" s="11">
        <v>91</v>
      </c>
      <c r="K95" s="12">
        <v>4.5</v>
      </c>
      <c r="L95" s="13">
        <v>52800</v>
      </c>
      <c r="M95" s="13">
        <v>39100</v>
      </c>
      <c r="N95" s="1" t="s">
        <v>36</v>
      </c>
    </row>
    <row r="96" spans="1:14">
      <c r="A96" s="1" t="s">
        <v>202</v>
      </c>
      <c r="B96" s="10">
        <v>45764</v>
      </c>
      <c r="C96" s="1" t="s">
        <v>54</v>
      </c>
      <c r="D96" s="1" t="s">
        <v>39</v>
      </c>
      <c r="E96" s="1" t="s">
        <v>40</v>
      </c>
      <c r="F96" s="1" t="s">
        <v>77</v>
      </c>
      <c r="G96" s="1" t="s">
        <v>78</v>
      </c>
      <c r="H96" s="11">
        <v>57</v>
      </c>
      <c r="I96" s="11">
        <v>53</v>
      </c>
      <c r="J96" s="11">
        <v>79</v>
      </c>
      <c r="K96" s="12">
        <v>4.3</v>
      </c>
      <c r="L96" s="13">
        <v>37100</v>
      </c>
      <c r="M96" s="13">
        <v>35900</v>
      </c>
      <c r="N96" s="1" t="s">
        <v>36</v>
      </c>
    </row>
    <row r="97" spans="1:14">
      <c r="A97" s="1" t="s">
        <v>203</v>
      </c>
      <c r="B97" s="10">
        <v>45765</v>
      </c>
      <c r="C97" s="1" t="s">
        <v>204</v>
      </c>
      <c r="D97" s="1" t="s">
        <v>32</v>
      </c>
      <c r="E97" s="1" t="s">
        <v>33</v>
      </c>
      <c r="F97" s="1" t="s">
        <v>77</v>
      </c>
      <c r="G97" s="1" t="s">
        <v>78</v>
      </c>
      <c r="H97" s="11">
        <v>44</v>
      </c>
      <c r="I97" s="11">
        <v>37</v>
      </c>
      <c r="J97" s="11">
        <v>155</v>
      </c>
      <c r="K97" s="12">
        <v>4.5</v>
      </c>
      <c r="L97" s="13">
        <v>18200</v>
      </c>
      <c r="M97" s="13">
        <v>14100</v>
      </c>
      <c r="N97" s="1" t="s">
        <v>36</v>
      </c>
    </row>
    <row r="98" spans="1:14">
      <c r="A98" s="1" t="s">
        <v>205</v>
      </c>
      <c r="B98" s="10">
        <v>45768</v>
      </c>
      <c r="C98" s="1" t="s">
        <v>179</v>
      </c>
      <c r="D98" s="1" t="s">
        <v>49</v>
      </c>
      <c r="E98" s="1" t="s">
        <v>50</v>
      </c>
      <c r="F98" s="1" t="s">
        <v>77</v>
      </c>
      <c r="G98" s="1" t="s">
        <v>98</v>
      </c>
      <c r="H98" s="11">
        <v>44</v>
      </c>
      <c r="I98" s="11">
        <v>35</v>
      </c>
      <c r="J98" s="11">
        <v>31</v>
      </c>
      <c r="K98" s="12">
        <v>4.5999999999999996</v>
      </c>
      <c r="L98" s="13">
        <v>85800</v>
      </c>
      <c r="M98" s="13">
        <v>93300</v>
      </c>
      <c r="N98" s="1" t="s">
        <v>36</v>
      </c>
    </row>
    <row r="99" spans="1:14">
      <c r="A99" s="1" t="s">
        <v>206</v>
      </c>
      <c r="B99" s="10">
        <v>45769</v>
      </c>
      <c r="C99" s="1" t="s">
        <v>170</v>
      </c>
      <c r="D99" s="1" t="s">
        <v>59</v>
      </c>
      <c r="E99" s="1" t="s">
        <v>63</v>
      </c>
      <c r="F99" s="1" t="s">
        <v>51</v>
      </c>
      <c r="G99" s="1" t="s">
        <v>52</v>
      </c>
      <c r="H99" s="11">
        <v>43</v>
      </c>
      <c r="I99" s="11">
        <v>40</v>
      </c>
      <c r="J99" s="11">
        <v>14</v>
      </c>
      <c r="K99" s="12">
        <v>3.7</v>
      </c>
      <c r="L99" s="13">
        <v>9600</v>
      </c>
      <c r="M99" s="13">
        <v>6500</v>
      </c>
      <c r="N99" s="1" t="s">
        <v>36</v>
      </c>
    </row>
    <row r="100" spans="1:14">
      <c r="A100" s="1" t="s">
        <v>207</v>
      </c>
      <c r="B100" s="10">
        <v>45770</v>
      </c>
      <c r="C100" s="1" t="s">
        <v>121</v>
      </c>
      <c r="D100" s="1" t="s">
        <v>49</v>
      </c>
      <c r="E100" s="1" t="s">
        <v>63</v>
      </c>
      <c r="F100" s="1" t="s">
        <v>34</v>
      </c>
      <c r="G100" s="1" t="s">
        <v>46</v>
      </c>
      <c r="H100" s="11">
        <v>49</v>
      </c>
      <c r="I100" s="11">
        <v>40</v>
      </c>
      <c r="J100" s="11">
        <v>2</v>
      </c>
      <c r="K100" s="12">
        <v>4.3</v>
      </c>
      <c r="L100" s="13">
        <v>32100</v>
      </c>
      <c r="M100" s="13">
        <v>31100</v>
      </c>
      <c r="N100" s="1" t="s">
        <v>36</v>
      </c>
    </row>
    <row r="101" spans="1:14">
      <c r="A101" s="1" t="s">
        <v>208</v>
      </c>
      <c r="B101" s="10">
        <v>45770</v>
      </c>
      <c r="C101" s="1" t="s">
        <v>209</v>
      </c>
      <c r="D101" s="1" t="s">
        <v>39</v>
      </c>
      <c r="E101" s="1" t="s">
        <v>45</v>
      </c>
      <c r="F101" s="1" t="s">
        <v>86</v>
      </c>
      <c r="G101" s="1" t="s">
        <v>93</v>
      </c>
      <c r="H101" s="11">
        <v>119</v>
      </c>
      <c r="I101" s="11">
        <v>69</v>
      </c>
      <c r="J101" s="11">
        <v>81</v>
      </c>
      <c r="K101" s="12">
        <v>3.8</v>
      </c>
      <c r="L101" s="13">
        <v>80300</v>
      </c>
      <c r="M101" s="13">
        <v>84700</v>
      </c>
      <c r="N101" s="1" t="s">
        <v>36</v>
      </c>
    </row>
    <row r="102" spans="1:14">
      <c r="A102" s="1" t="s">
        <v>210</v>
      </c>
      <c r="B102" s="10">
        <v>45771</v>
      </c>
      <c r="C102" s="1" t="s">
        <v>186</v>
      </c>
      <c r="D102" s="1" t="s">
        <v>32</v>
      </c>
      <c r="E102" s="1" t="s">
        <v>33</v>
      </c>
      <c r="F102" s="1" t="s">
        <v>86</v>
      </c>
      <c r="G102" s="1" t="s">
        <v>93</v>
      </c>
      <c r="H102" s="11">
        <v>55</v>
      </c>
      <c r="I102" s="11">
        <v>29</v>
      </c>
      <c r="J102" s="11">
        <v>173</v>
      </c>
      <c r="K102" s="12">
        <v>4.5999999999999996</v>
      </c>
      <c r="L102" s="13">
        <v>6000</v>
      </c>
      <c r="M102" s="13">
        <v>6400</v>
      </c>
      <c r="N102" s="1" t="s">
        <v>36</v>
      </c>
    </row>
    <row r="103" spans="1:14">
      <c r="A103" s="1" t="s">
        <v>211</v>
      </c>
      <c r="B103" s="10">
        <v>45771</v>
      </c>
      <c r="C103" s="1" t="s">
        <v>62</v>
      </c>
      <c r="D103" s="1" t="s">
        <v>49</v>
      </c>
      <c r="E103" s="1" t="s">
        <v>63</v>
      </c>
      <c r="F103" s="1" t="s">
        <v>77</v>
      </c>
      <c r="G103" s="1" t="s">
        <v>98</v>
      </c>
      <c r="H103" s="11">
        <v>27</v>
      </c>
      <c r="I103" s="11">
        <v>24</v>
      </c>
      <c r="J103" s="11">
        <v>4</v>
      </c>
      <c r="K103" s="12">
        <v>4.2</v>
      </c>
      <c r="L103" s="13">
        <v>31700</v>
      </c>
      <c r="M103" s="13">
        <v>28600</v>
      </c>
      <c r="N103" s="1" t="s">
        <v>36</v>
      </c>
    </row>
    <row r="104" spans="1:14">
      <c r="A104" s="1" t="s">
        <v>212</v>
      </c>
      <c r="B104" s="10">
        <v>45778</v>
      </c>
      <c r="C104" s="1" t="s">
        <v>163</v>
      </c>
      <c r="D104" s="1" t="s">
        <v>59</v>
      </c>
      <c r="E104" s="1" t="s">
        <v>60</v>
      </c>
      <c r="F104" s="1" t="s">
        <v>34</v>
      </c>
      <c r="G104" s="1" t="s">
        <v>46</v>
      </c>
      <c r="H104" s="11">
        <v>27</v>
      </c>
      <c r="I104" s="11">
        <v>25</v>
      </c>
      <c r="J104" s="11">
        <v>4</v>
      </c>
      <c r="K104" s="12">
        <v>3.8</v>
      </c>
      <c r="L104" s="13">
        <v>4100</v>
      </c>
      <c r="M104" s="13">
        <v>2900</v>
      </c>
      <c r="N104" s="1" t="s">
        <v>36</v>
      </c>
    </row>
    <row r="105" spans="1:14">
      <c r="A105" s="1" t="s">
        <v>213</v>
      </c>
      <c r="B105" s="10">
        <v>45778</v>
      </c>
      <c r="C105" s="1" t="s">
        <v>214</v>
      </c>
      <c r="D105" s="1" t="s">
        <v>44</v>
      </c>
      <c r="E105" s="1" t="s">
        <v>40</v>
      </c>
      <c r="F105" s="1" t="s">
        <v>51</v>
      </c>
      <c r="G105" s="1" t="s">
        <v>70</v>
      </c>
      <c r="H105" s="11">
        <v>85</v>
      </c>
      <c r="I105" s="11">
        <v>74</v>
      </c>
      <c r="J105" s="11">
        <v>74</v>
      </c>
      <c r="K105" s="12">
        <v>4.2</v>
      </c>
      <c r="L105" s="13">
        <v>67600</v>
      </c>
      <c r="M105" s="13">
        <v>51900</v>
      </c>
      <c r="N105" s="1" t="s">
        <v>36</v>
      </c>
    </row>
    <row r="106" spans="1:14">
      <c r="A106" s="1" t="s">
        <v>215</v>
      </c>
      <c r="B106" s="10">
        <v>45779</v>
      </c>
      <c r="C106" s="1" t="s">
        <v>147</v>
      </c>
      <c r="D106" s="1" t="s">
        <v>59</v>
      </c>
      <c r="E106" s="1" t="s">
        <v>60</v>
      </c>
      <c r="F106" s="1" t="s">
        <v>77</v>
      </c>
      <c r="G106" s="1" t="s">
        <v>98</v>
      </c>
      <c r="H106" s="11">
        <v>32</v>
      </c>
      <c r="I106" s="11">
        <v>26</v>
      </c>
      <c r="J106" s="11">
        <v>5</v>
      </c>
      <c r="K106" s="12">
        <v>3.7</v>
      </c>
      <c r="L106" s="13">
        <v>8200</v>
      </c>
      <c r="M106" s="13">
        <v>5700</v>
      </c>
      <c r="N106" s="1" t="s">
        <v>36</v>
      </c>
    </row>
    <row r="107" spans="1:14">
      <c r="A107" s="1" t="s">
        <v>216</v>
      </c>
      <c r="B107" s="10">
        <v>45779</v>
      </c>
      <c r="C107" s="1" t="s">
        <v>85</v>
      </c>
      <c r="D107" s="1" t="s">
        <v>82</v>
      </c>
      <c r="E107" s="1" t="s">
        <v>63</v>
      </c>
      <c r="F107" s="1" t="s">
        <v>64</v>
      </c>
      <c r="G107" s="1" t="s">
        <v>65</v>
      </c>
      <c r="H107" s="11">
        <v>32</v>
      </c>
      <c r="I107" s="11">
        <v>27</v>
      </c>
      <c r="J107" s="11">
        <v>10</v>
      </c>
      <c r="K107" s="12">
        <v>4.3</v>
      </c>
      <c r="L107" s="13">
        <v>33400</v>
      </c>
      <c r="M107" s="13">
        <v>23500</v>
      </c>
      <c r="N107" s="1" t="s">
        <v>36</v>
      </c>
    </row>
    <row r="108" spans="1:14">
      <c r="A108" s="1" t="s">
        <v>217</v>
      </c>
      <c r="B108" s="10">
        <v>45779</v>
      </c>
      <c r="C108" s="1" t="s">
        <v>48</v>
      </c>
      <c r="D108" s="1" t="s">
        <v>49</v>
      </c>
      <c r="E108" s="1" t="s">
        <v>50</v>
      </c>
      <c r="F108" s="1" t="s">
        <v>64</v>
      </c>
      <c r="G108" s="1" t="s">
        <v>83</v>
      </c>
      <c r="H108" s="11">
        <v>75</v>
      </c>
      <c r="I108" s="11">
        <v>63</v>
      </c>
      <c r="J108" s="11">
        <v>16</v>
      </c>
      <c r="K108" s="12">
        <v>4.0999999999999996</v>
      </c>
      <c r="L108" s="13">
        <v>59900</v>
      </c>
      <c r="M108" s="13">
        <v>54300</v>
      </c>
      <c r="N108" s="1" t="s">
        <v>36</v>
      </c>
    </row>
    <row r="109" spans="1:14">
      <c r="A109" s="1" t="s">
        <v>218</v>
      </c>
      <c r="B109" s="10">
        <v>45782</v>
      </c>
      <c r="C109" s="1" t="s">
        <v>97</v>
      </c>
      <c r="D109" s="1" t="s">
        <v>105</v>
      </c>
      <c r="E109" s="1" t="s">
        <v>50</v>
      </c>
      <c r="F109" s="1" t="s">
        <v>64</v>
      </c>
      <c r="G109" s="1" t="s">
        <v>109</v>
      </c>
      <c r="H109" s="11">
        <v>53</v>
      </c>
      <c r="I109" s="11">
        <v>49</v>
      </c>
      <c r="J109" s="11">
        <v>34</v>
      </c>
      <c r="K109" s="12">
        <v>4.2</v>
      </c>
      <c r="L109" s="13">
        <v>78400</v>
      </c>
      <c r="M109" s="13">
        <v>62300</v>
      </c>
      <c r="N109" s="1" t="s">
        <v>36</v>
      </c>
    </row>
    <row r="110" spans="1:14">
      <c r="A110" s="1" t="s">
        <v>219</v>
      </c>
      <c r="B110" s="10">
        <v>45784</v>
      </c>
      <c r="C110" s="1" t="s">
        <v>136</v>
      </c>
      <c r="D110" s="1" t="s">
        <v>44</v>
      </c>
      <c r="E110" s="1" t="s">
        <v>40</v>
      </c>
      <c r="F110" s="1" t="s">
        <v>86</v>
      </c>
      <c r="G110" s="1" t="s">
        <v>93</v>
      </c>
      <c r="H110" s="11">
        <v>138</v>
      </c>
      <c r="I110" s="11">
        <v>85</v>
      </c>
      <c r="J110" s="11">
        <v>142</v>
      </c>
      <c r="K110" s="12">
        <v>3.7</v>
      </c>
      <c r="L110" s="13">
        <v>27700</v>
      </c>
      <c r="M110" s="13">
        <v>21700</v>
      </c>
      <c r="N110" s="1" t="s">
        <v>36</v>
      </c>
    </row>
    <row r="111" spans="1:14">
      <c r="A111" s="1" t="s">
        <v>220</v>
      </c>
      <c r="B111" s="10">
        <v>45795</v>
      </c>
      <c r="C111" s="1" t="s">
        <v>221</v>
      </c>
      <c r="D111" s="1" t="s">
        <v>44</v>
      </c>
      <c r="E111" s="1" t="s">
        <v>40</v>
      </c>
      <c r="F111" s="1" t="s">
        <v>64</v>
      </c>
      <c r="G111" s="1" t="s">
        <v>83</v>
      </c>
      <c r="H111" s="11">
        <v>76</v>
      </c>
      <c r="I111" s="11">
        <v>69</v>
      </c>
      <c r="J111" s="11">
        <v>75</v>
      </c>
      <c r="K111" s="12">
        <v>4.4000000000000004</v>
      </c>
      <c r="L111" s="13">
        <v>30800</v>
      </c>
      <c r="M111" s="13">
        <v>31200</v>
      </c>
      <c r="N111" s="1" t="s">
        <v>36</v>
      </c>
    </row>
    <row r="112" spans="1:14">
      <c r="A112" s="1" t="s">
        <v>222</v>
      </c>
      <c r="B112" s="10">
        <v>45796</v>
      </c>
      <c r="C112" s="1" t="s">
        <v>118</v>
      </c>
      <c r="D112" s="1" t="s">
        <v>39</v>
      </c>
      <c r="E112" s="1" t="s">
        <v>63</v>
      </c>
      <c r="F112" s="1" t="s">
        <v>77</v>
      </c>
      <c r="G112" s="1" t="s">
        <v>78</v>
      </c>
      <c r="H112" s="11">
        <v>43</v>
      </c>
      <c r="I112" s="11">
        <v>37</v>
      </c>
      <c r="J112" s="11">
        <v>13</v>
      </c>
      <c r="K112" s="12">
        <v>4.0999999999999996</v>
      </c>
      <c r="L112" s="13">
        <v>29600</v>
      </c>
      <c r="M112" s="13">
        <v>27200</v>
      </c>
      <c r="N112" s="1" t="s">
        <v>36</v>
      </c>
    </row>
    <row r="113" spans="1:14">
      <c r="A113" s="1" t="s">
        <v>223</v>
      </c>
      <c r="B113" s="10">
        <v>45797</v>
      </c>
      <c r="C113" s="1" t="s">
        <v>43</v>
      </c>
      <c r="D113" s="1" t="s">
        <v>44</v>
      </c>
      <c r="E113" s="1" t="s">
        <v>45</v>
      </c>
      <c r="F113" s="1" t="s">
        <v>55</v>
      </c>
      <c r="G113" s="1" t="s">
        <v>56</v>
      </c>
      <c r="H113" s="11">
        <v>162</v>
      </c>
      <c r="I113" s="11">
        <v>140</v>
      </c>
      <c r="J113" s="11">
        <v>102</v>
      </c>
      <c r="K113" s="12">
        <v>4.2</v>
      </c>
      <c r="L113" s="13">
        <v>41500</v>
      </c>
      <c r="M113" s="13">
        <v>43300</v>
      </c>
      <c r="N113" s="1" t="s">
        <v>36</v>
      </c>
    </row>
    <row r="114" spans="1:14">
      <c r="A114" s="1" t="s">
        <v>224</v>
      </c>
      <c r="B114" s="10">
        <v>45798</v>
      </c>
      <c r="C114" s="1" t="s">
        <v>225</v>
      </c>
      <c r="D114" s="1" t="s">
        <v>82</v>
      </c>
      <c r="E114" s="1" t="s">
        <v>60</v>
      </c>
      <c r="F114" s="1" t="s">
        <v>55</v>
      </c>
      <c r="G114" s="1" t="s">
        <v>56</v>
      </c>
      <c r="H114" s="11">
        <v>38</v>
      </c>
      <c r="I114" s="11">
        <v>35</v>
      </c>
      <c r="J114" s="11">
        <v>13</v>
      </c>
      <c r="K114" s="12">
        <v>4.5999999999999996</v>
      </c>
      <c r="L114" s="13">
        <v>7100</v>
      </c>
      <c r="M114" s="13">
        <v>7100</v>
      </c>
      <c r="N114" s="1" t="s">
        <v>36</v>
      </c>
    </row>
    <row r="115" spans="1:14">
      <c r="A115" s="1" t="s">
        <v>226</v>
      </c>
      <c r="B115" s="10">
        <v>45799</v>
      </c>
      <c r="C115" s="1" t="s">
        <v>214</v>
      </c>
      <c r="D115" s="1" t="s">
        <v>44</v>
      </c>
      <c r="E115" s="1" t="s">
        <v>40</v>
      </c>
      <c r="F115" s="1" t="s">
        <v>86</v>
      </c>
      <c r="G115" s="1" t="s">
        <v>87</v>
      </c>
      <c r="H115" s="11">
        <v>124</v>
      </c>
      <c r="I115" s="11">
        <v>76</v>
      </c>
      <c r="J115" s="11">
        <v>67</v>
      </c>
      <c r="K115" s="12">
        <v>3.6</v>
      </c>
      <c r="L115" s="13">
        <v>58200</v>
      </c>
      <c r="M115" s="13">
        <v>48100</v>
      </c>
      <c r="N115" s="1" t="s">
        <v>36</v>
      </c>
    </row>
    <row r="116" spans="1:14">
      <c r="A116" s="1" t="s">
        <v>227</v>
      </c>
      <c r="B116" s="10">
        <v>45799</v>
      </c>
      <c r="C116" s="1" t="s">
        <v>80</v>
      </c>
      <c r="D116" s="1" t="s">
        <v>105</v>
      </c>
      <c r="E116" s="1" t="s">
        <v>45</v>
      </c>
      <c r="F116" s="1" t="s">
        <v>34</v>
      </c>
      <c r="G116" s="1" t="s">
        <v>41</v>
      </c>
      <c r="H116" s="11">
        <v>129</v>
      </c>
      <c r="I116" s="11">
        <v>111</v>
      </c>
      <c r="J116" s="11">
        <v>68</v>
      </c>
      <c r="K116" s="12">
        <v>4.4000000000000004</v>
      </c>
      <c r="L116" s="13">
        <v>26300</v>
      </c>
      <c r="M116" s="13">
        <v>22300</v>
      </c>
      <c r="N116" s="1" t="s">
        <v>36</v>
      </c>
    </row>
    <row r="117" spans="1:14">
      <c r="A117" s="1" t="s">
        <v>228</v>
      </c>
      <c r="B117" s="10">
        <v>45803</v>
      </c>
      <c r="C117" s="1" t="s">
        <v>229</v>
      </c>
      <c r="D117" s="1" t="s">
        <v>59</v>
      </c>
      <c r="E117" s="1" t="s">
        <v>63</v>
      </c>
      <c r="F117" s="1" t="s">
        <v>51</v>
      </c>
      <c r="G117" s="1" t="s">
        <v>137</v>
      </c>
      <c r="H117" s="11">
        <v>60</v>
      </c>
      <c r="I117" s="11">
        <v>55</v>
      </c>
      <c r="J117" s="11">
        <v>0</v>
      </c>
      <c r="K117" s="12">
        <v>3.7</v>
      </c>
      <c r="L117" s="13">
        <v>14900</v>
      </c>
      <c r="M117" s="13">
        <v>15300</v>
      </c>
      <c r="N117" s="1" t="s">
        <v>36</v>
      </c>
    </row>
    <row r="118" spans="1:14">
      <c r="A118" s="1" t="s">
        <v>230</v>
      </c>
      <c r="B118" s="10">
        <v>45806</v>
      </c>
      <c r="C118" s="1" t="s">
        <v>62</v>
      </c>
      <c r="D118" s="1" t="s">
        <v>59</v>
      </c>
      <c r="E118" s="1" t="s">
        <v>63</v>
      </c>
      <c r="F118" s="1" t="s">
        <v>51</v>
      </c>
      <c r="G118" s="1" t="s">
        <v>137</v>
      </c>
      <c r="H118" s="11">
        <v>40</v>
      </c>
      <c r="I118" s="11">
        <v>33</v>
      </c>
      <c r="J118" s="11">
        <v>13</v>
      </c>
      <c r="K118" s="12">
        <v>4</v>
      </c>
      <c r="L118" s="13">
        <v>16100</v>
      </c>
      <c r="M118" s="13">
        <v>17800</v>
      </c>
      <c r="N118" s="1" t="s">
        <v>36</v>
      </c>
    </row>
    <row r="119" spans="1:14">
      <c r="A119" s="1" t="s">
        <v>231</v>
      </c>
      <c r="B119" s="10">
        <v>45810</v>
      </c>
      <c r="C119" s="1" t="s">
        <v>168</v>
      </c>
      <c r="D119" s="1" t="s">
        <v>82</v>
      </c>
      <c r="E119" s="1" t="s">
        <v>60</v>
      </c>
      <c r="F119" s="1" t="s">
        <v>64</v>
      </c>
      <c r="G119" s="1" t="s">
        <v>109</v>
      </c>
      <c r="H119" s="11">
        <v>22</v>
      </c>
      <c r="I119" s="11">
        <v>20</v>
      </c>
      <c r="J119" s="11">
        <v>11</v>
      </c>
      <c r="K119" s="12">
        <v>4.5</v>
      </c>
      <c r="L119" s="13">
        <v>12000</v>
      </c>
      <c r="M119" s="13">
        <v>11900</v>
      </c>
      <c r="N119" s="1" t="s">
        <v>36</v>
      </c>
    </row>
    <row r="120" spans="1:14">
      <c r="A120" s="1" t="s">
        <v>232</v>
      </c>
      <c r="B120" s="10">
        <v>45811</v>
      </c>
      <c r="C120" s="1" t="s">
        <v>76</v>
      </c>
      <c r="D120" s="1" t="s">
        <v>59</v>
      </c>
      <c r="E120" s="1" t="s">
        <v>63</v>
      </c>
      <c r="F120" s="1" t="s">
        <v>64</v>
      </c>
      <c r="G120" s="1" t="s">
        <v>65</v>
      </c>
      <c r="H120" s="11">
        <v>37</v>
      </c>
      <c r="I120" s="11">
        <v>33</v>
      </c>
      <c r="J120" s="11">
        <v>16</v>
      </c>
      <c r="K120" s="12">
        <v>3.8</v>
      </c>
      <c r="L120" s="13">
        <v>26500</v>
      </c>
      <c r="M120" s="13">
        <v>21000</v>
      </c>
      <c r="N120" s="1" t="s">
        <v>36</v>
      </c>
    </row>
    <row r="121" spans="1:14">
      <c r="A121" s="1" t="s">
        <v>233</v>
      </c>
      <c r="B121" s="10">
        <v>45814</v>
      </c>
      <c r="C121" s="1" t="s">
        <v>125</v>
      </c>
      <c r="D121" s="1" t="s">
        <v>49</v>
      </c>
      <c r="E121" s="1" t="s">
        <v>63</v>
      </c>
      <c r="F121" s="1" t="s">
        <v>51</v>
      </c>
      <c r="G121" s="1" t="s">
        <v>137</v>
      </c>
      <c r="H121" s="11">
        <v>22</v>
      </c>
      <c r="I121" s="11">
        <v>20</v>
      </c>
      <c r="J121" s="11">
        <v>7</v>
      </c>
      <c r="K121" s="12">
        <v>4.3</v>
      </c>
      <c r="L121" s="13">
        <v>21400</v>
      </c>
      <c r="M121" s="13">
        <v>18000</v>
      </c>
      <c r="N121" s="1" t="s">
        <v>36</v>
      </c>
    </row>
    <row r="122" spans="1:14">
      <c r="A122" s="1" t="s">
        <v>234</v>
      </c>
      <c r="B122" s="10">
        <v>45819</v>
      </c>
      <c r="C122" s="1" t="s">
        <v>209</v>
      </c>
      <c r="D122" s="1" t="s">
        <v>105</v>
      </c>
      <c r="E122" s="1" t="s">
        <v>45</v>
      </c>
      <c r="F122" s="1" t="s">
        <v>34</v>
      </c>
      <c r="G122" s="1" t="s">
        <v>35</v>
      </c>
      <c r="H122" s="11">
        <v>94</v>
      </c>
      <c r="I122" s="11">
        <v>84</v>
      </c>
      <c r="J122" s="11">
        <v>97</v>
      </c>
      <c r="K122" s="12">
        <v>3.9</v>
      </c>
      <c r="L122" s="13">
        <v>52500</v>
      </c>
      <c r="M122" s="13">
        <v>45400</v>
      </c>
      <c r="N122" s="1" t="s">
        <v>36</v>
      </c>
    </row>
    <row r="123" spans="1:14">
      <c r="A123" s="1" t="s">
        <v>235</v>
      </c>
      <c r="B123" s="10">
        <v>45820</v>
      </c>
      <c r="C123" s="1" t="s">
        <v>143</v>
      </c>
      <c r="D123" s="1" t="s">
        <v>32</v>
      </c>
      <c r="E123" s="1" t="s">
        <v>33</v>
      </c>
      <c r="F123" s="1" t="s">
        <v>34</v>
      </c>
      <c r="G123" s="1" t="s">
        <v>35</v>
      </c>
      <c r="H123" s="11">
        <v>24</v>
      </c>
      <c r="I123" s="11">
        <v>19</v>
      </c>
      <c r="J123" s="11">
        <v>95</v>
      </c>
      <c r="K123" s="12">
        <v>4.5999999999999996</v>
      </c>
      <c r="L123" s="13">
        <v>12600</v>
      </c>
      <c r="M123" s="13">
        <v>13700</v>
      </c>
      <c r="N123" s="1" t="s">
        <v>36</v>
      </c>
    </row>
    <row r="124" spans="1:14">
      <c r="A124" s="1" t="s">
        <v>236</v>
      </c>
      <c r="B124" s="10">
        <v>45825</v>
      </c>
      <c r="C124" s="1" t="s">
        <v>170</v>
      </c>
      <c r="D124" s="1" t="s">
        <v>49</v>
      </c>
      <c r="E124" s="1" t="s">
        <v>63</v>
      </c>
      <c r="F124" s="1" t="s">
        <v>77</v>
      </c>
      <c r="G124" s="1" t="s">
        <v>98</v>
      </c>
      <c r="H124" s="11">
        <v>63</v>
      </c>
      <c r="I124" s="11">
        <v>54</v>
      </c>
      <c r="J124" s="11">
        <v>15</v>
      </c>
      <c r="K124" s="12">
        <v>4.0999999999999996</v>
      </c>
      <c r="L124" s="13">
        <v>15700</v>
      </c>
      <c r="M124" s="13">
        <v>15500</v>
      </c>
      <c r="N124" s="1" t="s">
        <v>36</v>
      </c>
    </row>
    <row r="125" spans="1:14">
      <c r="A125" s="1" t="s">
        <v>237</v>
      </c>
      <c r="B125" s="10">
        <v>45826</v>
      </c>
      <c r="C125" s="1" t="s">
        <v>31</v>
      </c>
      <c r="D125" s="1" t="s">
        <v>32</v>
      </c>
      <c r="E125" s="1" t="s">
        <v>33</v>
      </c>
      <c r="F125" s="1" t="s">
        <v>55</v>
      </c>
      <c r="G125" s="1" t="s">
        <v>89</v>
      </c>
      <c r="H125" s="11">
        <v>36</v>
      </c>
      <c r="I125" s="11">
        <v>31</v>
      </c>
      <c r="J125" s="11">
        <v>167</v>
      </c>
      <c r="K125" s="12">
        <v>4.4000000000000004</v>
      </c>
      <c r="L125" s="13">
        <v>15800</v>
      </c>
      <c r="M125" s="13">
        <v>17400</v>
      </c>
      <c r="N125" s="1" t="s">
        <v>36</v>
      </c>
    </row>
    <row r="126" spans="1:14">
      <c r="A126" s="1" t="s">
        <v>238</v>
      </c>
      <c r="B126" s="10">
        <v>45827</v>
      </c>
      <c r="C126" s="1" t="s">
        <v>115</v>
      </c>
      <c r="D126" s="1" t="s">
        <v>49</v>
      </c>
      <c r="E126" s="1" t="s">
        <v>63</v>
      </c>
      <c r="F126" s="1" t="s">
        <v>64</v>
      </c>
      <c r="G126" s="1" t="s">
        <v>109</v>
      </c>
      <c r="H126" s="11">
        <v>42</v>
      </c>
      <c r="I126" s="11">
        <v>37</v>
      </c>
      <c r="J126" s="11">
        <v>6</v>
      </c>
      <c r="K126" s="12">
        <v>4.3</v>
      </c>
      <c r="L126" s="13">
        <v>17700</v>
      </c>
      <c r="M126" s="13">
        <v>15900</v>
      </c>
      <c r="N126" s="1" t="s">
        <v>36</v>
      </c>
    </row>
    <row r="127" spans="1:14">
      <c r="A127" s="1" t="s">
        <v>239</v>
      </c>
      <c r="B127" s="10">
        <v>45827</v>
      </c>
      <c r="C127" s="1" t="s">
        <v>115</v>
      </c>
      <c r="D127" s="1" t="s">
        <v>59</v>
      </c>
      <c r="E127" s="1" t="s">
        <v>63</v>
      </c>
      <c r="F127" s="1" t="s">
        <v>34</v>
      </c>
      <c r="G127" s="1" t="s">
        <v>35</v>
      </c>
      <c r="H127" s="11">
        <v>44</v>
      </c>
      <c r="I127" s="11">
        <v>36</v>
      </c>
      <c r="J127" s="11">
        <v>7</v>
      </c>
      <c r="K127" s="12">
        <v>4</v>
      </c>
      <c r="L127" s="13">
        <v>21600</v>
      </c>
      <c r="M127" s="13">
        <v>19900</v>
      </c>
      <c r="N127" s="1" t="s">
        <v>36</v>
      </c>
    </row>
    <row r="128" spans="1:14">
      <c r="A128" s="1" t="s">
        <v>240</v>
      </c>
      <c r="B128" s="10">
        <v>45827</v>
      </c>
      <c r="C128" s="1" t="s">
        <v>31</v>
      </c>
      <c r="D128" s="1" t="s">
        <v>32</v>
      </c>
      <c r="E128" s="1" t="s">
        <v>33</v>
      </c>
      <c r="F128" s="1" t="s">
        <v>55</v>
      </c>
      <c r="G128" s="1" t="s">
        <v>89</v>
      </c>
      <c r="H128" s="11">
        <v>21</v>
      </c>
      <c r="I128" s="11">
        <v>19</v>
      </c>
      <c r="J128" s="11">
        <v>97</v>
      </c>
      <c r="K128" s="12">
        <v>4.8</v>
      </c>
      <c r="L128" s="13">
        <v>19200</v>
      </c>
      <c r="M128" s="13">
        <v>14300</v>
      </c>
      <c r="N128" s="1" t="s">
        <v>36</v>
      </c>
    </row>
    <row r="129" spans="1:14">
      <c r="A129" s="1" t="s">
        <v>241</v>
      </c>
      <c r="B129" s="10">
        <v>45828</v>
      </c>
      <c r="C129" s="1" t="s">
        <v>125</v>
      </c>
      <c r="D129" s="1" t="s">
        <v>59</v>
      </c>
      <c r="E129" s="1" t="s">
        <v>63</v>
      </c>
      <c r="F129" s="1" t="s">
        <v>77</v>
      </c>
      <c r="G129" s="1" t="s">
        <v>98</v>
      </c>
      <c r="H129" s="11">
        <v>31</v>
      </c>
      <c r="I129" s="11">
        <v>37</v>
      </c>
      <c r="J129" s="11">
        <v>6</v>
      </c>
      <c r="K129" s="12">
        <v>3.8</v>
      </c>
      <c r="L129" s="13">
        <v>17400</v>
      </c>
      <c r="M129" s="13">
        <v>14400</v>
      </c>
      <c r="N129" s="1" t="s">
        <v>36</v>
      </c>
    </row>
    <row r="130" spans="1:14">
      <c r="A130" s="1" t="s">
        <v>242</v>
      </c>
      <c r="B130" s="10">
        <v>45832</v>
      </c>
      <c r="C130" s="1" t="s">
        <v>54</v>
      </c>
      <c r="D130" s="1" t="s">
        <v>44</v>
      </c>
      <c r="E130" s="1" t="s">
        <v>40</v>
      </c>
      <c r="F130" s="1" t="s">
        <v>34</v>
      </c>
      <c r="G130" s="1" t="s">
        <v>35</v>
      </c>
      <c r="H130" s="11">
        <v>128</v>
      </c>
      <c r="I130" s="11">
        <v>111</v>
      </c>
      <c r="J130" s="11">
        <v>146</v>
      </c>
      <c r="K130" s="12">
        <v>4.2</v>
      </c>
      <c r="L130" s="13">
        <v>22500</v>
      </c>
      <c r="M130" s="13">
        <v>24400</v>
      </c>
      <c r="N130" s="1" t="s">
        <v>36</v>
      </c>
    </row>
    <row r="131" spans="1:14">
      <c r="A131" s="1" t="s">
        <v>243</v>
      </c>
      <c r="B131" s="10">
        <v>45832</v>
      </c>
      <c r="C131" s="1" t="s">
        <v>145</v>
      </c>
      <c r="D131" s="1" t="s">
        <v>49</v>
      </c>
      <c r="E131" s="1" t="s">
        <v>63</v>
      </c>
      <c r="F131" s="1" t="s">
        <v>55</v>
      </c>
      <c r="G131" s="1" t="s">
        <v>100</v>
      </c>
      <c r="H131" s="11">
        <v>64</v>
      </c>
      <c r="I131" s="11">
        <v>58</v>
      </c>
      <c r="J131" s="11">
        <v>9</v>
      </c>
      <c r="K131" s="12">
        <v>4.4000000000000004</v>
      </c>
      <c r="L131" s="13">
        <v>30600</v>
      </c>
      <c r="M131" s="13">
        <v>32000</v>
      </c>
      <c r="N131" s="1" t="s">
        <v>36</v>
      </c>
    </row>
    <row r="132" spans="1:14">
      <c r="A132" s="1" t="s">
        <v>244</v>
      </c>
      <c r="B132" s="10">
        <v>45833</v>
      </c>
      <c r="C132" s="1" t="s">
        <v>170</v>
      </c>
      <c r="D132" s="1" t="s">
        <v>49</v>
      </c>
      <c r="E132" s="1" t="s">
        <v>63</v>
      </c>
      <c r="F132" s="1" t="s">
        <v>77</v>
      </c>
      <c r="G132" s="1" t="s">
        <v>78</v>
      </c>
      <c r="H132" s="11">
        <v>65</v>
      </c>
      <c r="I132" s="11">
        <v>52</v>
      </c>
      <c r="J132" s="11">
        <v>5</v>
      </c>
      <c r="K132" s="12">
        <v>4.4000000000000004</v>
      </c>
      <c r="L132" s="13">
        <v>17500</v>
      </c>
      <c r="M132" s="13">
        <v>16800</v>
      </c>
      <c r="N132" s="1" t="s">
        <v>36</v>
      </c>
    </row>
    <row r="133" spans="1:14">
      <c r="A133" s="1" t="s">
        <v>245</v>
      </c>
      <c r="B133" s="10">
        <v>45834</v>
      </c>
      <c r="C133" s="1" t="s">
        <v>108</v>
      </c>
      <c r="D133" s="1" t="s">
        <v>44</v>
      </c>
      <c r="E133" s="1" t="s">
        <v>45</v>
      </c>
      <c r="F133" s="1" t="s">
        <v>86</v>
      </c>
      <c r="G133" s="1" t="s">
        <v>93</v>
      </c>
      <c r="H133" s="11">
        <v>98</v>
      </c>
      <c r="I133" s="11">
        <v>56</v>
      </c>
      <c r="J133" s="11">
        <v>44</v>
      </c>
      <c r="K133" s="12">
        <v>4</v>
      </c>
      <c r="L133" s="13">
        <v>56300</v>
      </c>
      <c r="M133" s="13">
        <v>55800</v>
      </c>
      <c r="N133" s="1" t="s">
        <v>36</v>
      </c>
    </row>
    <row r="134" spans="1:14">
      <c r="A134" s="1" t="s">
        <v>246</v>
      </c>
      <c r="B134" s="10">
        <v>45841</v>
      </c>
      <c r="C134" s="1" t="s">
        <v>104</v>
      </c>
      <c r="D134" s="1" t="s">
        <v>105</v>
      </c>
      <c r="E134" s="1" t="s">
        <v>45</v>
      </c>
      <c r="F134" s="1" t="s">
        <v>34</v>
      </c>
      <c r="G134" s="1" t="s">
        <v>46</v>
      </c>
      <c r="H134" s="11">
        <v>80</v>
      </c>
      <c r="I134" s="11">
        <v>48</v>
      </c>
      <c r="J134" s="11">
        <v>16</v>
      </c>
      <c r="K134" s="12">
        <v>4</v>
      </c>
      <c r="L134" s="13">
        <v>25800</v>
      </c>
      <c r="M134" s="13">
        <v>21400</v>
      </c>
      <c r="N134" s="1" t="s">
        <v>36</v>
      </c>
    </row>
    <row r="135" spans="1:14">
      <c r="A135" s="1" t="s">
        <v>247</v>
      </c>
      <c r="B135" s="10">
        <v>45841</v>
      </c>
      <c r="C135" s="1" t="s">
        <v>38</v>
      </c>
      <c r="D135" s="1" t="s">
        <v>39</v>
      </c>
      <c r="E135" s="1" t="s">
        <v>40</v>
      </c>
      <c r="F135" s="1" t="s">
        <v>34</v>
      </c>
      <c r="G135" s="1" t="s">
        <v>46</v>
      </c>
      <c r="H135" s="11">
        <v>54</v>
      </c>
      <c r="I135" s="11">
        <v>28</v>
      </c>
      <c r="J135" s="11">
        <v>16</v>
      </c>
      <c r="K135" s="12">
        <v>3.7</v>
      </c>
      <c r="L135" s="13">
        <v>33100</v>
      </c>
      <c r="M135" s="13">
        <v>28500</v>
      </c>
      <c r="N135" s="1" t="s">
        <v>36</v>
      </c>
    </row>
    <row r="136" spans="1:14">
      <c r="A136" s="1" t="s">
        <v>248</v>
      </c>
      <c r="B136" s="10">
        <v>45846</v>
      </c>
      <c r="C136" s="1" t="s">
        <v>76</v>
      </c>
      <c r="D136" s="1" t="s">
        <v>49</v>
      </c>
      <c r="E136" s="1" t="s">
        <v>63</v>
      </c>
      <c r="F136" s="1" t="s">
        <v>64</v>
      </c>
      <c r="G136" s="1" t="s">
        <v>109</v>
      </c>
      <c r="H136" s="11">
        <v>52</v>
      </c>
      <c r="I136" s="11">
        <v>29</v>
      </c>
      <c r="J136" s="11">
        <v>4</v>
      </c>
      <c r="K136" s="12">
        <v>3.8</v>
      </c>
      <c r="L136" s="13">
        <v>8900</v>
      </c>
      <c r="M136" s="13">
        <v>6200</v>
      </c>
      <c r="N136" s="1" t="s">
        <v>36</v>
      </c>
    </row>
    <row r="137" spans="1:14">
      <c r="A137" s="1" t="s">
        <v>249</v>
      </c>
      <c r="B137" s="10">
        <v>45856</v>
      </c>
      <c r="C137" s="1" t="s">
        <v>221</v>
      </c>
      <c r="D137" s="1" t="s">
        <v>39</v>
      </c>
      <c r="E137" s="1" t="s">
        <v>40</v>
      </c>
      <c r="F137" s="1" t="s">
        <v>51</v>
      </c>
      <c r="G137" s="1" t="s">
        <v>52</v>
      </c>
      <c r="H137" s="11">
        <v>118</v>
      </c>
      <c r="I137" s="11">
        <v>0</v>
      </c>
      <c r="J137" s="11">
        <v>0</v>
      </c>
      <c r="K137" s="12"/>
      <c r="L137" s="13">
        <v>34700</v>
      </c>
      <c r="M137" s="13">
        <v>6300</v>
      </c>
      <c r="N137" s="1" t="s">
        <v>148</v>
      </c>
    </row>
    <row r="138" spans="1:14">
      <c r="A138" s="1" t="s">
        <v>250</v>
      </c>
      <c r="B138" s="10">
        <v>45856</v>
      </c>
      <c r="C138" s="1" t="s">
        <v>125</v>
      </c>
      <c r="D138" s="1" t="s">
        <v>49</v>
      </c>
      <c r="E138" s="1" t="s">
        <v>63</v>
      </c>
      <c r="F138" s="1" t="s">
        <v>51</v>
      </c>
      <c r="G138" s="1" t="s">
        <v>70</v>
      </c>
      <c r="H138" s="11">
        <v>68</v>
      </c>
      <c r="I138" s="11">
        <v>40</v>
      </c>
      <c r="J138" s="11">
        <v>5</v>
      </c>
      <c r="K138" s="12">
        <v>3.7</v>
      </c>
      <c r="L138" s="13">
        <v>10400</v>
      </c>
      <c r="M138" s="13">
        <v>7100</v>
      </c>
      <c r="N138" s="1" t="s">
        <v>36</v>
      </c>
    </row>
    <row r="139" spans="1:14">
      <c r="A139" s="1" t="s">
        <v>251</v>
      </c>
      <c r="B139" s="10">
        <v>45856</v>
      </c>
      <c r="C139" s="1" t="s">
        <v>95</v>
      </c>
      <c r="D139" s="1" t="s">
        <v>59</v>
      </c>
      <c r="E139" s="1" t="s">
        <v>63</v>
      </c>
      <c r="F139" s="1" t="s">
        <v>55</v>
      </c>
      <c r="G139" s="1" t="s">
        <v>56</v>
      </c>
      <c r="H139" s="11">
        <v>44</v>
      </c>
      <c r="I139" s="11">
        <v>22</v>
      </c>
      <c r="J139" s="11">
        <v>0</v>
      </c>
      <c r="K139" s="12">
        <v>3.6</v>
      </c>
      <c r="L139" s="13">
        <v>31200</v>
      </c>
      <c r="M139" s="13">
        <v>31200</v>
      </c>
      <c r="N139" s="1" t="s">
        <v>36</v>
      </c>
    </row>
    <row r="140" spans="1:14">
      <c r="A140" s="1" t="s">
        <v>252</v>
      </c>
      <c r="B140" s="10">
        <v>45861</v>
      </c>
      <c r="C140" s="1" t="s">
        <v>253</v>
      </c>
      <c r="D140" s="1" t="s">
        <v>49</v>
      </c>
      <c r="E140" s="1" t="s">
        <v>50</v>
      </c>
      <c r="F140" s="1" t="s">
        <v>86</v>
      </c>
      <c r="G140" s="1" t="s">
        <v>93</v>
      </c>
      <c r="H140" s="11">
        <v>57</v>
      </c>
      <c r="I140" s="11">
        <v>23</v>
      </c>
      <c r="J140" s="11">
        <v>3</v>
      </c>
      <c r="K140" s="12">
        <v>4</v>
      </c>
      <c r="L140" s="13">
        <v>87100</v>
      </c>
      <c r="M140" s="13">
        <v>91200</v>
      </c>
      <c r="N140" s="1" t="s">
        <v>36</v>
      </c>
    </row>
    <row r="141" spans="1:14">
      <c r="A141" s="1" t="s">
        <v>254</v>
      </c>
      <c r="B141" s="10">
        <v>45861</v>
      </c>
      <c r="C141" s="1" t="s">
        <v>147</v>
      </c>
      <c r="D141" s="1" t="s">
        <v>82</v>
      </c>
      <c r="E141" s="1" t="s">
        <v>60</v>
      </c>
      <c r="F141" s="1" t="s">
        <v>51</v>
      </c>
      <c r="G141" s="1" t="s">
        <v>52</v>
      </c>
      <c r="H141" s="11">
        <v>26</v>
      </c>
      <c r="I141" s="11">
        <v>16</v>
      </c>
      <c r="J141" s="11">
        <v>2</v>
      </c>
      <c r="K141" s="12">
        <v>4.0999999999999996</v>
      </c>
      <c r="L141" s="13">
        <v>6300</v>
      </c>
      <c r="M141" s="13">
        <v>4800</v>
      </c>
      <c r="N141" s="1" t="s">
        <v>36</v>
      </c>
    </row>
    <row r="142" spans="1:14">
      <c r="A142" s="1" t="s">
        <v>255</v>
      </c>
      <c r="B142" s="10">
        <v>45863</v>
      </c>
      <c r="C142" s="1" t="s">
        <v>179</v>
      </c>
      <c r="D142" s="1" t="s">
        <v>49</v>
      </c>
      <c r="E142" s="1" t="s">
        <v>50</v>
      </c>
      <c r="F142" s="1" t="s">
        <v>64</v>
      </c>
      <c r="G142" s="1" t="s">
        <v>109</v>
      </c>
      <c r="H142" s="11">
        <v>41</v>
      </c>
      <c r="I142" s="11">
        <v>23</v>
      </c>
      <c r="J142" s="11">
        <v>8</v>
      </c>
      <c r="K142" s="12">
        <v>3.7</v>
      </c>
      <c r="L142" s="13">
        <v>65800</v>
      </c>
      <c r="M142" s="13">
        <v>53400</v>
      </c>
      <c r="N142" s="1" t="s">
        <v>36</v>
      </c>
    </row>
    <row r="143" spans="1:14">
      <c r="A143" s="1" t="s">
        <v>256</v>
      </c>
      <c r="B143" s="10">
        <v>45869</v>
      </c>
      <c r="C143" s="1" t="s">
        <v>123</v>
      </c>
      <c r="D143" s="1" t="s">
        <v>39</v>
      </c>
      <c r="E143" s="1" t="s">
        <v>45</v>
      </c>
      <c r="F143" s="1" t="s">
        <v>64</v>
      </c>
      <c r="G143" s="1" t="s">
        <v>83</v>
      </c>
      <c r="H143" s="11">
        <v>60</v>
      </c>
      <c r="I143" s="11">
        <v>34</v>
      </c>
      <c r="J143" s="11">
        <v>16</v>
      </c>
      <c r="K143" s="12">
        <v>4</v>
      </c>
      <c r="L143" s="13">
        <v>84500</v>
      </c>
      <c r="M143" s="13">
        <v>83900</v>
      </c>
      <c r="N143" s="1" t="s">
        <v>36</v>
      </c>
    </row>
    <row r="144" spans="1:14">
      <c r="A144" s="1" t="s">
        <v>257</v>
      </c>
      <c r="B144" s="10">
        <v>45870</v>
      </c>
      <c r="C144" s="1" t="s">
        <v>136</v>
      </c>
      <c r="D144" s="1" t="s">
        <v>44</v>
      </c>
      <c r="E144" s="1" t="s">
        <v>40</v>
      </c>
      <c r="F144" s="1" t="s">
        <v>51</v>
      </c>
      <c r="G144" s="1" t="s">
        <v>52</v>
      </c>
      <c r="H144" s="11">
        <v>92</v>
      </c>
      <c r="I144" s="11">
        <v>47</v>
      </c>
      <c r="J144" s="11">
        <v>40</v>
      </c>
      <c r="K144" s="12">
        <v>3.6</v>
      </c>
      <c r="L144" s="13">
        <v>17800</v>
      </c>
      <c r="M144" s="13">
        <v>18300</v>
      </c>
      <c r="N144" s="1" t="s">
        <v>36</v>
      </c>
    </row>
    <row r="145" spans="1:14">
      <c r="A145" s="1" t="s">
        <v>258</v>
      </c>
      <c r="B145" s="10">
        <v>45873</v>
      </c>
      <c r="C145" s="1" t="s">
        <v>80</v>
      </c>
      <c r="D145" s="1" t="s">
        <v>105</v>
      </c>
      <c r="E145" s="1" t="s">
        <v>45</v>
      </c>
      <c r="F145" s="1" t="s">
        <v>64</v>
      </c>
      <c r="G145" s="1" t="s">
        <v>109</v>
      </c>
      <c r="H145" s="11">
        <v>92</v>
      </c>
      <c r="I145" s="11">
        <v>47</v>
      </c>
      <c r="J145" s="11">
        <v>14</v>
      </c>
      <c r="K145" s="12">
        <v>3.6</v>
      </c>
      <c r="L145" s="13">
        <v>62700</v>
      </c>
      <c r="M145" s="13">
        <v>58300</v>
      </c>
      <c r="N145" s="1" t="s">
        <v>36</v>
      </c>
    </row>
    <row r="146" spans="1:14">
      <c r="A146" s="1" t="s">
        <v>259</v>
      </c>
      <c r="B146" s="10">
        <v>45875</v>
      </c>
      <c r="C146" s="1" t="s">
        <v>229</v>
      </c>
      <c r="D146" s="1" t="s">
        <v>59</v>
      </c>
      <c r="E146" s="1" t="s">
        <v>63</v>
      </c>
      <c r="F146" s="1" t="s">
        <v>55</v>
      </c>
      <c r="G146" s="1" t="s">
        <v>100</v>
      </c>
      <c r="H146" s="11">
        <v>56</v>
      </c>
      <c r="I146" s="11">
        <v>37</v>
      </c>
      <c r="J146" s="11">
        <v>9</v>
      </c>
      <c r="K146" s="12">
        <v>3.7</v>
      </c>
      <c r="L146" s="13">
        <v>20200</v>
      </c>
      <c r="M146" s="13">
        <v>17100</v>
      </c>
      <c r="N146" s="1" t="s">
        <v>36</v>
      </c>
    </row>
    <row r="147" spans="1:14">
      <c r="A147" s="1" t="s">
        <v>260</v>
      </c>
      <c r="B147" s="10">
        <v>45877</v>
      </c>
      <c r="C147" s="1" t="s">
        <v>170</v>
      </c>
      <c r="D147" s="1" t="s">
        <v>59</v>
      </c>
      <c r="E147" s="1" t="s">
        <v>63</v>
      </c>
      <c r="F147" s="1" t="s">
        <v>51</v>
      </c>
      <c r="G147" s="1" t="s">
        <v>52</v>
      </c>
      <c r="H147" s="11">
        <v>65</v>
      </c>
      <c r="I147" s="11">
        <v>38</v>
      </c>
      <c r="J147" s="11">
        <v>5</v>
      </c>
      <c r="K147" s="12">
        <v>3.7</v>
      </c>
      <c r="L147" s="13">
        <v>29100</v>
      </c>
      <c r="M147" s="13">
        <v>21300</v>
      </c>
      <c r="N147" s="1" t="s">
        <v>36</v>
      </c>
    </row>
    <row r="148" spans="1:14">
      <c r="A148" s="1" t="s">
        <v>261</v>
      </c>
      <c r="B148" s="10">
        <v>45881</v>
      </c>
      <c r="C148" s="1" t="s">
        <v>80</v>
      </c>
      <c r="D148" s="1" t="s">
        <v>105</v>
      </c>
      <c r="E148" s="1" t="s">
        <v>45</v>
      </c>
      <c r="F148" s="1" t="s">
        <v>64</v>
      </c>
      <c r="G148" s="1" t="s">
        <v>65</v>
      </c>
      <c r="H148" s="11">
        <v>99</v>
      </c>
      <c r="I148" s="11">
        <v>50</v>
      </c>
      <c r="J148" s="11">
        <v>19</v>
      </c>
      <c r="K148" s="12">
        <v>3.9</v>
      </c>
      <c r="L148" s="13">
        <v>22300</v>
      </c>
      <c r="M148" s="13">
        <v>20400</v>
      </c>
      <c r="N148" s="1" t="s">
        <v>36</v>
      </c>
    </row>
    <row r="149" spans="1:14">
      <c r="A149" s="1" t="s">
        <v>262</v>
      </c>
      <c r="B149" s="10">
        <v>45882</v>
      </c>
      <c r="C149" s="1" t="s">
        <v>43</v>
      </c>
      <c r="D149" s="1" t="s">
        <v>105</v>
      </c>
      <c r="E149" s="1" t="s">
        <v>45</v>
      </c>
      <c r="F149" s="1" t="s">
        <v>55</v>
      </c>
      <c r="G149" s="1" t="s">
        <v>89</v>
      </c>
      <c r="H149" s="11">
        <v>114</v>
      </c>
      <c r="I149" s="11">
        <v>60</v>
      </c>
      <c r="J149" s="11">
        <v>30</v>
      </c>
      <c r="K149" s="12">
        <v>4.0999999999999996</v>
      </c>
      <c r="L149" s="13">
        <v>52600</v>
      </c>
      <c r="M149" s="13">
        <v>35900</v>
      </c>
      <c r="N149" s="1" t="s">
        <v>36</v>
      </c>
    </row>
    <row r="150" spans="1:14">
      <c r="A150" s="1" t="s">
        <v>263</v>
      </c>
      <c r="B150" s="10">
        <v>45887</v>
      </c>
      <c r="C150" s="1" t="s">
        <v>123</v>
      </c>
      <c r="D150" s="1" t="s">
        <v>44</v>
      </c>
      <c r="E150" s="1" t="s">
        <v>45</v>
      </c>
      <c r="F150" s="1" t="s">
        <v>34</v>
      </c>
      <c r="G150" s="1" t="s">
        <v>41</v>
      </c>
      <c r="H150" s="11">
        <v>94</v>
      </c>
      <c r="I150" s="11">
        <v>0</v>
      </c>
      <c r="J150" s="11">
        <v>0</v>
      </c>
      <c r="K150" s="12"/>
      <c r="L150" s="13">
        <v>36000</v>
      </c>
      <c r="M150" s="13">
        <v>5400</v>
      </c>
      <c r="N150" s="1" t="s">
        <v>148</v>
      </c>
    </row>
    <row r="151" spans="1:14">
      <c r="A151" s="1" t="s">
        <v>264</v>
      </c>
      <c r="B151" s="10">
        <v>45891</v>
      </c>
      <c r="C151" s="1" t="s">
        <v>143</v>
      </c>
      <c r="D151" s="1" t="s">
        <v>32</v>
      </c>
      <c r="E151" s="1" t="s">
        <v>33</v>
      </c>
      <c r="F151" s="1" t="s">
        <v>77</v>
      </c>
      <c r="G151" s="1" t="s">
        <v>78</v>
      </c>
      <c r="H151" s="11">
        <v>39</v>
      </c>
      <c r="I151" s="11">
        <v>20</v>
      </c>
      <c r="J151" s="11">
        <v>37</v>
      </c>
      <c r="K151" s="12">
        <v>4.4000000000000004</v>
      </c>
      <c r="L151" s="13">
        <v>9600</v>
      </c>
      <c r="M151" s="13">
        <v>8000</v>
      </c>
      <c r="N151" s="1" t="s">
        <v>36</v>
      </c>
    </row>
    <row r="152" spans="1:14">
      <c r="A152" s="1" t="s">
        <v>265</v>
      </c>
      <c r="B152" s="10">
        <v>45897</v>
      </c>
      <c r="C152" s="1" t="s">
        <v>95</v>
      </c>
      <c r="D152" s="1" t="s">
        <v>49</v>
      </c>
      <c r="E152" s="1" t="s">
        <v>63</v>
      </c>
      <c r="F152" s="1" t="s">
        <v>77</v>
      </c>
      <c r="G152" s="1" t="s">
        <v>98</v>
      </c>
      <c r="H152" s="11">
        <v>60</v>
      </c>
      <c r="I152" s="11">
        <v>0</v>
      </c>
      <c r="J152" s="11">
        <v>0</v>
      </c>
      <c r="K152" s="12"/>
      <c r="L152" s="13">
        <v>28000</v>
      </c>
      <c r="M152" s="13">
        <v>5100</v>
      </c>
      <c r="N152" s="1" t="s">
        <v>148</v>
      </c>
    </row>
    <row r="153" spans="1:14">
      <c r="A153" s="1" t="s">
        <v>266</v>
      </c>
      <c r="B153" s="10">
        <v>45898</v>
      </c>
      <c r="C153" s="1" t="s">
        <v>104</v>
      </c>
      <c r="D153" s="1" t="s">
        <v>44</v>
      </c>
      <c r="E153" s="1" t="s">
        <v>45</v>
      </c>
      <c r="F153" s="1" t="s">
        <v>34</v>
      </c>
      <c r="G153" s="1" t="s">
        <v>35</v>
      </c>
      <c r="H153" s="11">
        <v>163</v>
      </c>
      <c r="I153" s="11">
        <v>82</v>
      </c>
      <c r="J153" s="11">
        <v>28</v>
      </c>
      <c r="K153" s="12">
        <v>3.9</v>
      </c>
      <c r="L153" s="13">
        <v>61000</v>
      </c>
      <c r="M153" s="13">
        <v>62200</v>
      </c>
      <c r="N153" s="1" t="s">
        <v>36</v>
      </c>
    </row>
    <row r="154" spans="1:14">
      <c r="A154" s="1" t="s">
        <v>267</v>
      </c>
      <c r="B154" s="10">
        <v>45901</v>
      </c>
      <c r="C154" s="1" t="s">
        <v>102</v>
      </c>
      <c r="D154" s="1" t="s">
        <v>49</v>
      </c>
      <c r="E154" s="1" t="s">
        <v>50</v>
      </c>
      <c r="F154" s="1" t="s">
        <v>64</v>
      </c>
      <c r="G154" s="1" t="s">
        <v>109</v>
      </c>
      <c r="H154" s="11">
        <v>46</v>
      </c>
      <c r="I154" s="11">
        <v>37</v>
      </c>
      <c r="J154" s="11">
        <v>27</v>
      </c>
      <c r="K154" s="12">
        <v>4</v>
      </c>
      <c r="L154" s="13">
        <v>55400</v>
      </c>
      <c r="M154" s="13">
        <v>38100</v>
      </c>
      <c r="N154" s="1" t="s">
        <v>36</v>
      </c>
    </row>
    <row r="155" spans="1:14">
      <c r="A155" s="1" t="s">
        <v>268</v>
      </c>
      <c r="B155" s="10">
        <v>45902</v>
      </c>
      <c r="C155" s="1" t="s">
        <v>229</v>
      </c>
      <c r="D155" s="1" t="s">
        <v>59</v>
      </c>
      <c r="E155" s="1" t="s">
        <v>63</v>
      </c>
      <c r="F155" s="1" t="s">
        <v>55</v>
      </c>
      <c r="G155" s="1" t="s">
        <v>100</v>
      </c>
      <c r="H155" s="11">
        <v>28</v>
      </c>
      <c r="I155" s="11">
        <v>0</v>
      </c>
      <c r="J155" s="11">
        <v>0</v>
      </c>
      <c r="K155" s="12"/>
      <c r="L155" s="13">
        <v>25800</v>
      </c>
      <c r="M155" s="13">
        <v>2500</v>
      </c>
      <c r="N155" s="1" t="s">
        <v>148</v>
      </c>
    </row>
    <row r="156" spans="1:14">
      <c r="A156" s="1" t="s">
        <v>269</v>
      </c>
      <c r="B156" s="10">
        <v>45904</v>
      </c>
      <c r="C156" s="1" t="s">
        <v>168</v>
      </c>
      <c r="D156" s="1" t="s">
        <v>82</v>
      </c>
      <c r="E156" s="1" t="s">
        <v>60</v>
      </c>
      <c r="F156" s="1" t="s">
        <v>86</v>
      </c>
      <c r="G156" s="1" t="s">
        <v>93</v>
      </c>
      <c r="H156" s="11">
        <v>44</v>
      </c>
      <c r="I156" s="11">
        <v>27</v>
      </c>
      <c r="J156" s="11">
        <v>13</v>
      </c>
      <c r="K156" s="12">
        <v>4.2</v>
      </c>
      <c r="L156" s="13">
        <v>14800</v>
      </c>
      <c r="M156" s="13">
        <v>15800</v>
      </c>
      <c r="N156" s="1" t="s">
        <v>36</v>
      </c>
    </row>
    <row r="157" spans="1:14">
      <c r="A157" s="1" t="s">
        <v>270</v>
      </c>
      <c r="B157" s="10">
        <v>45908</v>
      </c>
      <c r="C157" s="1" t="s">
        <v>271</v>
      </c>
      <c r="D157" s="1" t="s">
        <v>32</v>
      </c>
      <c r="E157" s="1" t="s">
        <v>33</v>
      </c>
      <c r="F157" s="1" t="s">
        <v>86</v>
      </c>
      <c r="G157" s="1" t="s">
        <v>93</v>
      </c>
      <c r="H157" s="11">
        <v>31</v>
      </c>
      <c r="I157" s="11">
        <v>0</v>
      </c>
      <c r="J157" s="11">
        <v>0</v>
      </c>
      <c r="K157" s="12"/>
      <c r="L157" s="13">
        <v>14200</v>
      </c>
      <c r="M157" s="13">
        <v>1200</v>
      </c>
      <c r="N157" s="1" t="s">
        <v>148</v>
      </c>
    </row>
    <row r="158" spans="1:14">
      <c r="A158" s="1" t="s">
        <v>272</v>
      </c>
      <c r="B158" s="10">
        <v>45909</v>
      </c>
      <c r="C158" s="1" t="s">
        <v>67</v>
      </c>
      <c r="D158" s="1" t="s">
        <v>44</v>
      </c>
      <c r="E158" s="1" t="s">
        <v>40</v>
      </c>
      <c r="F158" s="1" t="s">
        <v>55</v>
      </c>
      <c r="G158" s="1" t="s">
        <v>89</v>
      </c>
      <c r="H158" s="11">
        <v>136</v>
      </c>
      <c r="I158" s="11">
        <v>119</v>
      </c>
      <c r="J158" s="11">
        <v>214</v>
      </c>
      <c r="K158" s="12">
        <v>4.2</v>
      </c>
      <c r="L158" s="13">
        <v>69800</v>
      </c>
      <c r="M158" s="13">
        <v>49600</v>
      </c>
      <c r="N158" s="1" t="s">
        <v>36</v>
      </c>
    </row>
    <row r="159" spans="1:14">
      <c r="A159" s="1" t="s">
        <v>273</v>
      </c>
      <c r="B159" s="10">
        <v>45909</v>
      </c>
      <c r="C159" s="1" t="s">
        <v>104</v>
      </c>
      <c r="D159" s="1" t="s">
        <v>39</v>
      </c>
      <c r="E159" s="1" t="s">
        <v>45</v>
      </c>
      <c r="F159" s="1" t="s">
        <v>77</v>
      </c>
      <c r="G159" s="1" t="s">
        <v>98</v>
      </c>
      <c r="H159" s="11">
        <v>68</v>
      </c>
      <c r="I159" s="11">
        <v>62</v>
      </c>
      <c r="J159" s="11">
        <v>61</v>
      </c>
      <c r="K159" s="12">
        <v>3.9</v>
      </c>
      <c r="L159" s="13">
        <v>71800</v>
      </c>
      <c r="M159" s="13">
        <v>54000</v>
      </c>
      <c r="N159" s="1" t="s">
        <v>36</v>
      </c>
    </row>
    <row r="160" spans="1:14">
      <c r="A160" s="1" t="s">
        <v>274</v>
      </c>
      <c r="B160" s="10">
        <v>45916</v>
      </c>
      <c r="C160" s="1" t="s">
        <v>150</v>
      </c>
      <c r="D160" s="1" t="s">
        <v>32</v>
      </c>
      <c r="E160" s="1" t="s">
        <v>33</v>
      </c>
      <c r="F160" s="1" t="s">
        <v>51</v>
      </c>
      <c r="G160" s="1" t="s">
        <v>52</v>
      </c>
      <c r="H160" s="11">
        <v>54</v>
      </c>
      <c r="I160" s="11">
        <v>0</v>
      </c>
      <c r="J160" s="11">
        <v>0</v>
      </c>
      <c r="K160" s="12"/>
      <c r="L160" s="13">
        <v>9900</v>
      </c>
      <c r="M160" s="13">
        <v>1900</v>
      </c>
      <c r="N160" s="1" t="s">
        <v>148</v>
      </c>
    </row>
    <row r="161" spans="1:14">
      <c r="A161" s="1" t="s">
        <v>275</v>
      </c>
      <c r="B161" s="10">
        <v>45917</v>
      </c>
      <c r="C161" s="1" t="s">
        <v>54</v>
      </c>
      <c r="D161" s="1" t="s">
        <v>39</v>
      </c>
      <c r="E161" s="1" t="s">
        <v>40</v>
      </c>
      <c r="F161" s="1" t="s">
        <v>64</v>
      </c>
      <c r="G161" s="1" t="s">
        <v>65</v>
      </c>
      <c r="H161" s="11">
        <v>134</v>
      </c>
      <c r="I161" s="11">
        <v>117</v>
      </c>
      <c r="J161" s="11">
        <v>219</v>
      </c>
      <c r="K161" s="12">
        <v>3.7</v>
      </c>
      <c r="L161" s="13">
        <v>17100</v>
      </c>
      <c r="M161" s="13">
        <v>18100</v>
      </c>
      <c r="N161" s="1" t="s">
        <v>36</v>
      </c>
    </row>
    <row r="162" spans="1:14">
      <c r="A162" s="1" t="s">
        <v>276</v>
      </c>
      <c r="B162" s="10">
        <v>45918</v>
      </c>
      <c r="C162" s="1" t="s">
        <v>43</v>
      </c>
      <c r="D162" s="1" t="s">
        <v>105</v>
      </c>
      <c r="E162" s="1" t="s">
        <v>45</v>
      </c>
      <c r="F162" s="1" t="s">
        <v>34</v>
      </c>
      <c r="G162" s="1" t="s">
        <v>41</v>
      </c>
      <c r="H162" s="11">
        <v>170</v>
      </c>
      <c r="I162" s="11">
        <v>0</v>
      </c>
      <c r="J162" s="11">
        <v>0</v>
      </c>
      <c r="K162" s="12"/>
      <c r="L162" s="13">
        <v>23100</v>
      </c>
      <c r="M162" s="13">
        <v>3500</v>
      </c>
      <c r="N162" s="1" t="s">
        <v>148</v>
      </c>
    </row>
    <row r="163" spans="1:14">
      <c r="A163" s="1" t="s">
        <v>277</v>
      </c>
      <c r="B163" s="10">
        <v>45919</v>
      </c>
      <c r="C163" s="1" t="s">
        <v>43</v>
      </c>
      <c r="D163" s="1" t="s">
        <v>44</v>
      </c>
      <c r="E163" s="1" t="s">
        <v>45</v>
      </c>
      <c r="F163" s="1" t="s">
        <v>55</v>
      </c>
      <c r="G163" s="1" t="s">
        <v>89</v>
      </c>
      <c r="H163" s="11">
        <v>144</v>
      </c>
      <c r="I163" s="11">
        <v>123</v>
      </c>
      <c r="J163" s="11">
        <v>100</v>
      </c>
      <c r="K163" s="12">
        <v>4.2</v>
      </c>
      <c r="L163" s="13">
        <v>44500</v>
      </c>
      <c r="M163" s="13">
        <v>47000</v>
      </c>
      <c r="N163" s="1" t="s">
        <v>36</v>
      </c>
    </row>
    <row r="164" spans="1:14">
      <c r="A164" s="1" t="s">
        <v>278</v>
      </c>
      <c r="B164" s="10">
        <v>45923</v>
      </c>
      <c r="C164" s="1" t="s">
        <v>54</v>
      </c>
      <c r="D164" s="1" t="s">
        <v>44</v>
      </c>
      <c r="E164" s="1" t="s">
        <v>40</v>
      </c>
      <c r="F164" s="1" t="s">
        <v>34</v>
      </c>
      <c r="G164" s="1" t="s">
        <v>35</v>
      </c>
      <c r="H164" s="11">
        <v>69</v>
      </c>
      <c r="I164" s="11">
        <v>0</v>
      </c>
      <c r="J164" s="11">
        <v>0</v>
      </c>
      <c r="K164" s="12"/>
      <c r="L164" s="13">
        <v>17200</v>
      </c>
      <c r="M164" s="13">
        <v>1900</v>
      </c>
      <c r="N164" s="1" t="s">
        <v>148</v>
      </c>
    </row>
    <row r="165" spans="1:14">
      <c r="A165" s="1" t="s">
        <v>279</v>
      </c>
      <c r="B165" s="10">
        <v>45924</v>
      </c>
      <c r="C165" s="1" t="s">
        <v>67</v>
      </c>
      <c r="D165" s="1" t="s">
        <v>44</v>
      </c>
      <c r="E165" s="1" t="s">
        <v>40</v>
      </c>
      <c r="F165" s="1" t="s">
        <v>34</v>
      </c>
      <c r="G165" s="1" t="s">
        <v>46</v>
      </c>
      <c r="H165" s="11">
        <v>70</v>
      </c>
      <c r="I165" s="11">
        <v>61</v>
      </c>
      <c r="J165" s="11">
        <v>50</v>
      </c>
      <c r="K165" s="12">
        <v>4.3</v>
      </c>
      <c r="L165" s="13">
        <v>53600</v>
      </c>
      <c r="M165" s="13">
        <v>54300</v>
      </c>
      <c r="N165" s="1" t="s">
        <v>36</v>
      </c>
    </row>
    <row r="166" spans="1:14">
      <c r="A166" s="1" t="s">
        <v>280</v>
      </c>
      <c r="B166" s="10">
        <v>45925</v>
      </c>
      <c r="C166" s="1" t="s">
        <v>62</v>
      </c>
      <c r="D166" s="1" t="s">
        <v>59</v>
      </c>
      <c r="E166" s="1" t="s">
        <v>63</v>
      </c>
      <c r="F166" s="1" t="s">
        <v>34</v>
      </c>
      <c r="G166" s="1" t="s">
        <v>46</v>
      </c>
      <c r="H166" s="11">
        <v>38</v>
      </c>
      <c r="I166" s="11">
        <v>0</v>
      </c>
      <c r="J166" s="11">
        <v>0</v>
      </c>
      <c r="K166" s="12"/>
      <c r="L166" s="13">
        <v>34900</v>
      </c>
      <c r="M166" s="13">
        <v>2600</v>
      </c>
      <c r="N166" s="1" t="s">
        <v>148</v>
      </c>
    </row>
    <row r="167" spans="1:14">
      <c r="A167" s="1" t="s">
        <v>281</v>
      </c>
      <c r="B167" s="10">
        <v>45929</v>
      </c>
      <c r="C167" s="1" t="s">
        <v>54</v>
      </c>
      <c r="D167" s="1" t="s">
        <v>44</v>
      </c>
      <c r="E167" s="1" t="s">
        <v>40</v>
      </c>
      <c r="F167" s="1" t="s">
        <v>86</v>
      </c>
      <c r="G167" s="1" t="s">
        <v>87</v>
      </c>
      <c r="H167" s="11">
        <v>123</v>
      </c>
      <c r="I167" s="11">
        <v>73</v>
      </c>
      <c r="J167" s="11">
        <v>90</v>
      </c>
      <c r="K167" s="12">
        <v>3.8</v>
      </c>
      <c r="L167" s="13">
        <v>54300</v>
      </c>
      <c r="M167" s="13">
        <v>43900</v>
      </c>
      <c r="N167" s="1" t="s">
        <v>36</v>
      </c>
    </row>
    <row r="168" spans="1:14">
      <c r="A168" s="1" t="s">
        <v>282</v>
      </c>
      <c r="B168" s="10">
        <v>45929</v>
      </c>
      <c r="C168" s="1" t="s">
        <v>58</v>
      </c>
      <c r="D168" s="1" t="s">
        <v>59</v>
      </c>
      <c r="E168" s="1" t="s">
        <v>60</v>
      </c>
      <c r="F168" s="1" t="s">
        <v>34</v>
      </c>
      <c r="G168" s="1" t="s">
        <v>41</v>
      </c>
      <c r="H168" s="11">
        <v>43</v>
      </c>
      <c r="I168" s="11">
        <v>39</v>
      </c>
      <c r="J168" s="11">
        <v>21</v>
      </c>
      <c r="K168" s="12">
        <v>4.2</v>
      </c>
      <c r="L168" s="13">
        <v>11300</v>
      </c>
      <c r="M168" s="13">
        <v>10100</v>
      </c>
      <c r="N168" s="1" t="s">
        <v>36</v>
      </c>
    </row>
    <row r="169" spans="1:14">
      <c r="A169" s="1" t="s">
        <v>283</v>
      </c>
      <c r="B169" s="10">
        <v>45931</v>
      </c>
      <c r="C169" s="1" t="s">
        <v>67</v>
      </c>
      <c r="D169" s="1" t="s">
        <v>39</v>
      </c>
      <c r="E169" s="1" t="s">
        <v>40</v>
      </c>
      <c r="F169" s="1" t="s">
        <v>51</v>
      </c>
      <c r="G169" s="1" t="s">
        <v>52</v>
      </c>
      <c r="H169" s="11">
        <v>137</v>
      </c>
      <c r="I169" s="11">
        <v>127</v>
      </c>
      <c r="J169" s="11">
        <v>176</v>
      </c>
      <c r="K169" s="12">
        <v>4</v>
      </c>
      <c r="L169" s="13">
        <v>28000</v>
      </c>
      <c r="M169" s="13">
        <v>29200</v>
      </c>
      <c r="N169" s="1" t="s">
        <v>36</v>
      </c>
    </row>
    <row r="170" spans="1:14">
      <c r="A170" s="1" t="s">
        <v>284</v>
      </c>
      <c r="B170" s="10">
        <v>45936</v>
      </c>
      <c r="C170" s="1" t="s">
        <v>147</v>
      </c>
      <c r="D170" s="1" t="s">
        <v>82</v>
      </c>
      <c r="E170" s="1" t="s">
        <v>60</v>
      </c>
      <c r="F170" s="1" t="s">
        <v>86</v>
      </c>
      <c r="G170" s="1" t="s">
        <v>93</v>
      </c>
      <c r="H170" s="11">
        <v>24</v>
      </c>
      <c r="I170" s="11">
        <v>14</v>
      </c>
      <c r="J170" s="11">
        <v>3</v>
      </c>
      <c r="K170" s="12">
        <v>4.2</v>
      </c>
      <c r="L170" s="13">
        <v>9000</v>
      </c>
      <c r="M170" s="13">
        <v>9300</v>
      </c>
      <c r="N170" s="1" t="s">
        <v>36</v>
      </c>
    </row>
    <row r="171" spans="1:14">
      <c r="A171" s="1" t="s">
        <v>285</v>
      </c>
      <c r="B171" s="10">
        <v>45937</v>
      </c>
      <c r="C171" s="1" t="s">
        <v>108</v>
      </c>
      <c r="D171" s="1" t="s">
        <v>44</v>
      </c>
      <c r="E171" s="1" t="s">
        <v>45</v>
      </c>
      <c r="F171" s="1" t="s">
        <v>64</v>
      </c>
      <c r="G171" s="1" t="s">
        <v>65</v>
      </c>
      <c r="H171" s="11">
        <v>90</v>
      </c>
      <c r="I171" s="11">
        <v>73</v>
      </c>
      <c r="J171" s="11">
        <v>39</v>
      </c>
      <c r="K171" s="12">
        <v>4.2</v>
      </c>
      <c r="L171" s="13">
        <v>64400</v>
      </c>
      <c r="M171" s="13">
        <v>58800</v>
      </c>
      <c r="N171" s="1" t="s">
        <v>36</v>
      </c>
    </row>
    <row r="172" spans="1:14">
      <c r="A172" s="1" t="s">
        <v>286</v>
      </c>
      <c r="B172" s="10">
        <v>45937</v>
      </c>
      <c r="C172" s="1" t="s">
        <v>123</v>
      </c>
      <c r="D172" s="1" t="s">
        <v>105</v>
      </c>
      <c r="E172" s="1" t="s">
        <v>45</v>
      </c>
      <c r="F172" s="1" t="s">
        <v>86</v>
      </c>
      <c r="G172" s="1" t="s">
        <v>93</v>
      </c>
      <c r="H172" s="11">
        <v>104</v>
      </c>
      <c r="I172" s="11">
        <v>64</v>
      </c>
      <c r="J172" s="11">
        <v>52</v>
      </c>
      <c r="K172" s="12">
        <v>3.8</v>
      </c>
      <c r="L172" s="13">
        <v>31300</v>
      </c>
      <c r="M172" s="13">
        <v>25200</v>
      </c>
      <c r="N172" s="1" t="s">
        <v>36</v>
      </c>
    </row>
    <row r="173" spans="1:14">
      <c r="A173" s="1" t="s">
        <v>287</v>
      </c>
      <c r="B173" s="10">
        <v>45937</v>
      </c>
      <c r="C173" s="1" t="s">
        <v>199</v>
      </c>
      <c r="D173" s="1" t="s">
        <v>39</v>
      </c>
      <c r="E173" s="1" t="s">
        <v>40</v>
      </c>
      <c r="F173" s="1" t="s">
        <v>51</v>
      </c>
      <c r="G173" s="1" t="s">
        <v>52</v>
      </c>
      <c r="H173" s="11">
        <v>50</v>
      </c>
      <c r="I173" s="11">
        <v>40</v>
      </c>
      <c r="J173" s="11">
        <v>64</v>
      </c>
      <c r="K173" s="12">
        <v>3.7</v>
      </c>
      <c r="L173" s="13">
        <v>49000</v>
      </c>
      <c r="M173" s="13">
        <v>45600</v>
      </c>
      <c r="N173" s="1" t="s">
        <v>36</v>
      </c>
    </row>
    <row r="174" spans="1:14">
      <c r="A174" s="1" t="s">
        <v>288</v>
      </c>
      <c r="B174" s="10">
        <v>45943</v>
      </c>
      <c r="C174" s="1" t="s">
        <v>111</v>
      </c>
      <c r="D174" s="1" t="s">
        <v>82</v>
      </c>
      <c r="E174" s="1" t="s">
        <v>60</v>
      </c>
      <c r="F174" s="1" t="s">
        <v>51</v>
      </c>
      <c r="G174" s="1" t="s">
        <v>137</v>
      </c>
      <c r="H174" s="11">
        <v>18</v>
      </c>
      <c r="I174" s="11">
        <v>16</v>
      </c>
      <c r="J174" s="11">
        <v>9</v>
      </c>
      <c r="K174" s="12">
        <v>4.4000000000000004</v>
      </c>
      <c r="L174" s="13">
        <v>5900</v>
      </c>
      <c r="M174" s="13">
        <v>5000</v>
      </c>
      <c r="N174" s="1" t="s">
        <v>36</v>
      </c>
    </row>
    <row r="175" spans="1:14">
      <c r="A175" s="1" t="s">
        <v>289</v>
      </c>
      <c r="B175" s="10">
        <v>45944</v>
      </c>
      <c r="C175" s="1" t="s">
        <v>85</v>
      </c>
      <c r="D175" s="1" t="s">
        <v>59</v>
      </c>
      <c r="E175" s="1" t="s">
        <v>63</v>
      </c>
      <c r="F175" s="1" t="s">
        <v>86</v>
      </c>
      <c r="G175" s="1" t="s">
        <v>93</v>
      </c>
      <c r="H175" s="11">
        <v>32</v>
      </c>
      <c r="I175" s="11">
        <v>19</v>
      </c>
      <c r="J175" s="11">
        <v>6</v>
      </c>
      <c r="K175" s="12">
        <v>3.9</v>
      </c>
      <c r="L175" s="13">
        <v>17800</v>
      </c>
      <c r="M175" s="13">
        <v>18100</v>
      </c>
      <c r="N175" s="1" t="s">
        <v>36</v>
      </c>
    </row>
    <row r="176" spans="1:14">
      <c r="A176" s="1" t="s">
        <v>290</v>
      </c>
      <c r="B176" s="10">
        <v>45945</v>
      </c>
      <c r="C176" s="1" t="s">
        <v>31</v>
      </c>
      <c r="D176" s="1" t="s">
        <v>32</v>
      </c>
      <c r="E176" s="1" t="s">
        <v>33</v>
      </c>
      <c r="F176" s="1" t="s">
        <v>86</v>
      </c>
      <c r="G176" s="1" t="s">
        <v>87</v>
      </c>
      <c r="H176" s="11">
        <v>21</v>
      </c>
      <c r="I176" s="11">
        <v>12</v>
      </c>
      <c r="J176" s="11">
        <v>68</v>
      </c>
      <c r="K176" s="12">
        <v>4.3</v>
      </c>
      <c r="L176" s="13">
        <v>5000</v>
      </c>
      <c r="M176" s="13">
        <v>3800</v>
      </c>
      <c r="N176" s="1" t="s">
        <v>36</v>
      </c>
    </row>
    <row r="177" spans="1:14">
      <c r="A177" s="1" t="s">
        <v>291</v>
      </c>
      <c r="B177" s="10">
        <v>45947</v>
      </c>
      <c r="C177" s="1" t="s">
        <v>209</v>
      </c>
      <c r="D177" s="1" t="s">
        <v>105</v>
      </c>
      <c r="E177" s="1" t="s">
        <v>45</v>
      </c>
      <c r="F177" s="1" t="s">
        <v>64</v>
      </c>
      <c r="G177" s="1" t="s">
        <v>65</v>
      </c>
      <c r="H177" s="11">
        <v>137</v>
      </c>
      <c r="I177" s="11">
        <v>127</v>
      </c>
      <c r="J177" s="11">
        <v>54</v>
      </c>
      <c r="K177" s="12">
        <v>4</v>
      </c>
      <c r="L177" s="13">
        <v>78200</v>
      </c>
      <c r="M177" s="13">
        <v>86400</v>
      </c>
      <c r="N177" s="1" t="s">
        <v>36</v>
      </c>
    </row>
    <row r="178" spans="1:14">
      <c r="A178" s="1" t="s">
        <v>292</v>
      </c>
      <c r="B178" s="10">
        <v>45947</v>
      </c>
      <c r="C178" s="1" t="s">
        <v>170</v>
      </c>
      <c r="D178" s="1" t="s">
        <v>49</v>
      </c>
      <c r="E178" s="1" t="s">
        <v>63</v>
      </c>
      <c r="F178" s="1" t="s">
        <v>64</v>
      </c>
      <c r="G178" s="1" t="s">
        <v>83</v>
      </c>
      <c r="H178" s="11">
        <v>49</v>
      </c>
      <c r="I178" s="11">
        <v>44</v>
      </c>
      <c r="J178" s="11">
        <v>9</v>
      </c>
      <c r="K178" s="12">
        <v>4.0999999999999996</v>
      </c>
      <c r="L178" s="13">
        <v>9000</v>
      </c>
      <c r="M178" s="13">
        <v>8100</v>
      </c>
      <c r="N178" s="1" t="s">
        <v>36</v>
      </c>
    </row>
    <row r="179" spans="1:14">
      <c r="A179" s="1" t="s">
        <v>293</v>
      </c>
      <c r="B179" s="10">
        <v>45952</v>
      </c>
      <c r="C179" s="1" t="s">
        <v>186</v>
      </c>
      <c r="D179" s="1" t="s">
        <v>32</v>
      </c>
      <c r="E179" s="1" t="s">
        <v>33</v>
      </c>
      <c r="F179" s="1" t="s">
        <v>51</v>
      </c>
      <c r="G179" s="1" t="s">
        <v>70</v>
      </c>
      <c r="H179" s="11">
        <v>37</v>
      </c>
      <c r="I179" s="11">
        <v>30</v>
      </c>
      <c r="J179" s="11">
        <v>153</v>
      </c>
      <c r="K179" s="12">
        <v>4.3</v>
      </c>
      <c r="L179" s="13">
        <v>6700</v>
      </c>
      <c r="M179" s="13">
        <v>6400</v>
      </c>
      <c r="N179" s="1" t="s">
        <v>36</v>
      </c>
    </row>
    <row r="180" spans="1:14">
      <c r="A180" s="1" t="s">
        <v>294</v>
      </c>
      <c r="B180" s="10">
        <v>45952</v>
      </c>
      <c r="C180" s="1" t="s">
        <v>199</v>
      </c>
      <c r="D180" s="1" t="s">
        <v>44</v>
      </c>
      <c r="E180" s="1" t="s">
        <v>40</v>
      </c>
      <c r="F180" s="1" t="s">
        <v>64</v>
      </c>
      <c r="G180" s="1" t="s">
        <v>83</v>
      </c>
      <c r="H180" s="11">
        <v>97</v>
      </c>
      <c r="I180" s="11">
        <v>80</v>
      </c>
      <c r="J180" s="11">
        <v>130</v>
      </c>
      <c r="K180" s="12">
        <v>3.8</v>
      </c>
      <c r="L180" s="13">
        <v>65100</v>
      </c>
      <c r="M180" s="13">
        <v>69900</v>
      </c>
      <c r="N180" s="1" t="s">
        <v>36</v>
      </c>
    </row>
    <row r="181" spans="1:14">
      <c r="A181" s="1" t="s">
        <v>295</v>
      </c>
      <c r="B181" s="10">
        <v>45953</v>
      </c>
      <c r="C181" s="1" t="s">
        <v>111</v>
      </c>
      <c r="D181" s="1" t="s">
        <v>59</v>
      </c>
      <c r="E181" s="1" t="s">
        <v>60</v>
      </c>
      <c r="F181" s="1" t="s">
        <v>55</v>
      </c>
      <c r="G181" s="1" t="s">
        <v>56</v>
      </c>
      <c r="H181" s="11">
        <v>20</v>
      </c>
      <c r="I181" s="11">
        <v>18</v>
      </c>
      <c r="J181" s="11">
        <v>9</v>
      </c>
      <c r="K181" s="12">
        <v>4.0999999999999996</v>
      </c>
      <c r="L181" s="13">
        <v>11500</v>
      </c>
      <c r="M181" s="13">
        <v>9800</v>
      </c>
      <c r="N181" s="1" t="s">
        <v>36</v>
      </c>
    </row>
    <row r="182" spans="1:14">
      <c r="A182" s="1" t="s">
        <v>296</v>
      </c>
      <c r="B182" s="10">
        <v>45958</v>
      </c>
      <c r="C182" s="1" t="s">
        <v>125</v>
      </c>
      <c r="D182" s="1" t="s">
        <v>39</v>
      </c>
      <c r="E182" s="1" t="s">
        <v>63</v>
      </c>
      <c r="F182" s="1" t="s">
        <v>51</v>
      </c>
      <c r="G182" s="1" t="s">
        <v>137</v>
      </c>
      <c r="H182" s="11">
        <v>22</v>
      </c>
      <c r="I182" s="11">
        <v>19</v>
      </c>
      <c r="J182" s="11">
        <v>6</v>
      </c>
      <c r="K182" s="12">
        <v>4.0999999999999996</v>
      </c>
      <c r="L182" s="13">
        <v>33600</v>
      </c>
      <c r="M182" s="13">
        <v>22900</v>
      </c>
      <c r="N182" s="1" t="s">
        <v>36</v>
      </c>
    </row>
    <row r="183" spans="1:14">
      <c r="A183" s="1" t="s">
        <v>297</v>
      </c>
      <c r="B183" s="10">
        <v>45961</v>
      </c>
      <c r="C183" s="1" t="s">
        <v>118</v>
      </c>
      <c r="D183" s="1" t="s">
        <v>49</v>
      </c>
      <c r="E183" s="1" t="s">
        <v>63</v>
      </c>
      <c r="F183" s="1" t="s">
        <v>86</v>
      </c>
      <c r="G183" s="1" t="s">
        <v>93</v>
      </c>
      <c r="H183" s="11">
        <v>26</v>
      </c>
      <c r="I183" s="11">
        <v>15</v>
      </c>
      <c r="J183" s="11">
        <v>5</v>
      </c>
      <c r="K183" s="12">
        <v>3.7</v>
      </c>
      <c r="L183" s="13">
        <v>21500</v>
      </c>
      <c r="M183" s="13">
        <v>20900</v>
      </c>
      <c r="N183" s="1" t="s">
        <v>36</v>
      </c>
    </row>
    <row r="184" spans="1:14">
      <c r="A184" s="1" t="s">
        <v>298</v>
      </c>
      <c r="B184" s="10">
        <v>45962</v>
      </c>
      <c r="C184" s="1" t="s">
        <v>58</v>
      </c>
      <c r="D184" s="1" t="s">
        <v>82</v>
      </c>
      <c r="E184" s="1" t="s">
        <v>60</v>
      </c>
      <c r="F184" s="1" t="s">
        <v>64</v>
      </c>
      <c r="G184" s="1" t="s">
        <v>65</v>
      </c>
      <c r="H184" s="11">
        <v>24</v>
      </c>
      <c r="I184" s="11">
        <v>21</v>
      </c>
      <c r="J184" s="11">
        <v>3</v>
      </c>
      <c r="K184" s="12">
        <v>4.7</v>
      </c>
      <c r="L184" s="13">
        <v>8000</v>
      </c>
      <c r="M184" s="13">
        <v>6700</v>
      </c>
      <c r="N184" s="1" t="s">
        <v>36</v>
      </c>
    </row>
    <row r="185" spans="1:14">
      <c r="A185" s="1" t="s">
        <v>299</v>
      </c>
      <c r="B185" s="10">
        <v>45965</v>
      </c>
      <c r="C185" s="1" t="s">
        <v>95</v>
      </c>
      <c r="D185" s="1" t="s">
        <v>49</v>
      </c>
      <c r="E185" s="1" t="s">
        <v>63</v>
      </c>
      <c r="F185" s="1" t="s">
        <v>64</v>
      </c>
      <c r="G185" s="1" t="s">
        <v>65</v>
      </c>
      <c r="H185" s="11">
        <v>33</v>
      </c>
      <c r="I185" s="11">
        <v>30</v>
      </c>
      <c r="J185" s="11">
        <v>14</v>
      </c>
      <c r="K185" s="12">
        <v>4.3</v>
      </c>
      <c r="L185" s="13">
        <v>19100</v>
      </c>
      <c r="M185" s="13">
        <v>14700</v>
      </c>
      <c r="N185" s="1" t="s">
        <v>36</v>
      </c>
    </row>
    <row r="186" spans="1:14">
      <c r="A186" s="1" t="s">
        <v>300</v>
      </c>
      <c r="B186" s="10">
        <v>45967</v>
      </c>
      <c r="C186" s="1" t="s">
        <v>102</v>
      </c>
      <c r="D186" s="1" t="s">
        <v>49</v>
      </c>
      <c r="E186" s="1" t="s">
        <v>50</v>
      </c>
      <c r="F186" s="1" t="s">
        <v>77</v>
      </c>
      <c r="G186" s="1" t="s">
        <v>98</v>
      </c>
      <c r="H186" s="11">
        <v>48</v>
      </c>
      <c r="I186" s="11">
        <v>42</v>
      </c>
      <c r="J186" s="11">
        <v>29</v>
      </c>
      <c r="K186" s="12"/>
      <c r="L186" s="13">
        <v>88600</v>
      </c>
      <c r="M186" s="13">
        <v>92600</v>
      </c>
      <c r="N186" s="1" t="s">
        <v>36</v>
      </c>
    </row>
    <row r="187" spans="1:14">
      <c r="A187" s="1" t="s">
        <v>301</v>
      </c>
      <c r="B187" s="10">
        <v>45967</v>
      </c>
      <c r="C187" s="1" t="s">
        <v>302</v>
      </c>
      <c r="D187" s="1" t="s">
        <v>32</v>
      </c>
      <c r="E187" s="1" t="s">
        <v>33</v>
      </c>
      <c r="F187" s="1" t="s">
        <v>51</v>
      </c>
      <c r="G187" s="1" t="s">
        <v>137</v>
      </c>
      <c r="H187" s="11">
        <v>60</v>
      </c>
      <c r="I187" s="11">
        <v>52</v>
      </c>
      <c r="J187" s="11">
        <v>170</v>
      </c>
      <c r="K187" s="12">
        <v>4.3</v>
      </c>
      <c r="L187" s="13">
        <v>20500</v>
      </c>
      <c r="M187" s="13">
        <v>15700</v>
      </c>
      <c r="N187" s="1" t="s">
        <v>36</v>
      </c>
    </row>
    <row r="188" spans="1:14">
      <c r="A188" s="1" t="s">
        <v>303</v>
      </c>
      <c r="B188" s="10">
        <v>45972</v>
      </c>
      <c r="C188" s="1" t="s">
        <v>182</v>
      </c>
      <c r="D188" s="1" t="s">
        <v>32</v>
      </c>
      <c r="E188" s="1" t="s">
        <v>33</v>
      </c>
      <c r="F188" s="1" t="s">
        <v>64</v>
      </c>
      <c r="G188" s="1" t="s">
        <v>65</v>
      </c>
      <c r="H188" s="11">
        <v>18</v>
      </c>
      <c r="I188" s="11">
        <v>15</v>
      </c>
      <c r="J188" s="11">
        <v>57</v>
      </c>
      <c r="K188" s="12">
        <v>4.2</v>
      </c>
      <c r="L188" s="13">
        <v>16000</v>
      </c>
      <c r="M188" s="13">
        <v>12200</v>
      </c>
      <c r="N188" s="1" t="s">
        <v>36</v>
      </c>
    </row>
    <row r="189" spans="1:14">
      <c r="A189" s="1" t="s">
        <v>304</v>
      </c>
      <c r="B189" s="10">
        <v>45973</v>
      </c>
      <c r="C189" s="1" t="s">
        <v>145</v>
      </c>
      <c r="D189" s="1" t="s">
        <v>59</v>
      </c>
      <c r="E189" s="1" t="s">
        <v>63</v>
      </c>
      <c r="F189" s="1" t="s">
        <v>34</v>
      </c>
      <c r="G189" s="1" t="s">
        <v>46</v>
      </c>
      <c r="H189" s="11">
        <v>24</v>
      </c>
      <c r="I189" s="11">
        <v>20</v>
      </c>
      <c r="J189" s="11">
        <v>3</v>
      </c>
      <c r="K189" s="12">
        <v>4.2</v>
      </c>
      <c r="L189" s="13">
        <v>23000</v>
      </c>
      <c r="M189" s="13">
        <v>21500</v>
      </c>
      <c r="N189" s="1" t="s">
        <v>36</v>
      </c>
    </row>
    <row r="190" spans="1:14">
      <c r="A190" s="1" t="s">
        <v>305</v>
      </c>
      <c r="B190" s="10">
        <v>45977</v>
      </c>
      <c r="C190" s="1" t="s">
        <v>80</v>
      </c>
      <c r="D190" s="1" t="s">
        <v>39</v>
      </c>
      <c r="E190" s="1" t="s">
        <v>45</v>
      </c>
      <c r="F190" s="1" t="s">
        <v>64</v>
      </c>
      <c r="G190" s="1" t="s">
        <v>83</v>
      </c>
      <c r="H190" s="11">
        <v>119</v>
      </c>
      <c r="I190" s="11">
        <v>99</v>
      </c>
      <c r="J190" s="11">
        <v>63</v>
      </c>
      <c r="K190" s="12">
        <v>4.0999999999999996</v>
      </c>
      <c r="L190" s="13">
        <v>35400</v>
      </c>
      <c r="M190" s="13">
        <v>29500</v>
      </c>
      <c r="N190" s="1" t="s">
        <v>36</v>
      </c>
    </row>
    <row r="191" spans="1:14">
      <c r="A191" s="1" t="s">
        <v>306</v>
      </c>
      <c r="B191" s="10">
        <v>45979</v>
      </c>
      <c r="C191" s="1" t="s">
        <v>229</v>
      </c>
      <c r="D191" s="1" t="s">
        <v>49</v>
      </c>
      <c r="E191" s="1" t="s">
        <v>63</v>
      </c>
      <c r="F191" s="1" t="s">
        <v>51</v>
      </c>
      <c r="G191" s="1" t="s">
        <v>70</v>
      </c>
      <c r="H191" s="11">
        <v>61</v>
      </c>
      <c r="I191" s="11">
        <v>53</v>
      </c>
      <c r="J191" s="11">
        <v>22</v>
      </c>
      <c r="K191" s="12">
        <v>4.5</v>
      </c>
      <c r="L191" s="13">
        <v>14200</v>
      </c>
      <c r="M191" s="13">
        <v>15300</v>
      </c>
      <c r="N191" s="1" t="s">
        <v>36</v>
      </c>
    </row>
    <row r="192" spans="1:14">
      <c r="A192" s="1" t="s">
        <v>307</v>
      </c>
      <c r="B192" s="10">
        <v>45980</v>
      </c>
      <c r="C192" s="1" t="s">
        <v>150</v>
      </c>
      <c r="D192" s="1" t="s">
        <v>32</v>
      </c>
      <c r="E192" s="1" t="s">
        <v>33</v>
      </c>
      <c r="F192" s="1" t="s">
        <v>34</v>
      </c>
      <c r="G192" s="1" t="s">
        <v>35</v>
      </c>
      <c r="H192" s="11">
        <v>30</v>
      </c>
      <c r="I192" s="11">
        <v>28</v>
      </c>
      <c r="J192" s="11">
        <v>163</v>
      </c>
      <c r="K192" s="12">
        <v>4.8</v>
      </c>
      <c r="L192" s="13">
        <v>5800</v>
      </c>
      <c r="M192" s="13">
        <v>5800</v>
      </c>
      <c r="N192" s="1" t="s">
        <v>36</v>
      </c>
    </row>
    <row r="193" spans="1:14">
      <c r="A193" s="1" t="s">
        <v>308</v>
      </c>
      <c r="B193" s="10">
        <v>45986</v>
      </c>
      <c r="C193" s="1" t="s">
        <v>168</v>
      </c>
      <c r="D193" s="1" t="s">
        <v>82</v>
      </c>
      <c r="E193" s="1" t="s">
        <v>60</v>
      </c>
      <c r="F193" s="1" t="s">
        <v>34</v>
      </c>
      <c r="G193" s="1" t="s">
        <v>35</v>
      </c>
      <c r="H193" s="11">
        <v>25</v>
      </c>
      <c r="I193" s="11">
        <v>21</v>
      </c>
      <c r="J193" s="11">
        <v>3</v>
      </c>
      <c r="K193" s="12">
        <v>4.3</v>
      </c>
      <c r="L193" s="13">
        <v>10200</v>
      </c>
      <c r="M193" s="13">
        <v>10400</v>
      </c>
      <c r="N193" s="1" t="s">
        <v>36</v>
      </c>
    </row>
    <row r="194" spans="1:14">
      <c r="A194" s="1" t="s">
        <v>309</v>
      </c>
      <c r="B194" s="10">
        <v>45986</v>
      </c>
      <c r="C194" s="1" t="s">
        <v>136</v>
      </c>
      <c r="D194" s="1" t="s">
        <v>32</v>
      </c>
      <c r="E194" s="1" t="s">
        <v>40</v>
      </c>
      <c r="F194" s="1" t="s">
        <v>55</v>
      </c>
      <c r="G194" s="1" t="s">
        <v>100</v>
      </c>
      <c r="H194" s="11">
        <v>103</v>
      </c>
      <c r="I194" s="11">
        <v>83</v>
      </c>
      <c r="J194" s="11">
        <v>123</v>
      </c>
      <c r="K194" s="12">
        <v>3.8</v>
      </c>
      <c r="L194" s="13">
        <v>46200</v>
      </c>
      <c r="M194" s="13">
        <v>39300</v>
      </c>
      <c r="N194" s="1" t="s">
        <v>36</v>
      </c>
    </row>
    <row r="195" spans="1:14">
      <c r="A195" s="1" t="s">
        <v>310</v>
      </c>
      <c r="B195" s="10">
        <v>45987</v>
      </c>
      <c r="C195" s="1" t="s">
        <v>163</v>
      </c>
      <c r="D195" s="1" t="s">
        <v>82</v>
      </c>
      <c r="E195" s="1" t="s">
        <v>60</v>
      </c>
      <c r="F195" s="1" t="s">
        <v>51</v>
      </c>
      <c r="G195" s="1" t="s">
        <v>137</v>
      </c>
      <c r="H195" s="11">
        <v>19</v>
      </c>
      <c r="I195" s="11">
        <v>17</v>
      </c>
      <c r="J195" s="11">
        <v>8</v>
      </c>
      <c r="K195" s="12">
        <v>4.3</v>
      </c>
      <c r="L195" s="13">
        <v>11100</v>
      </c>
      <c r="M195" s="13">
        <v>12400</v>
      </c>
      <c r="N195" s="1" t="s">
        <v>36</v>
      </c>
    </row>
    <row r="196" spans="1:14">
      <c r="A196" s="1" t="s">
        <v>311</v>
      </c>
      <c r="B196" s="10">
        <v>45988</v>
      </c>
      <c r="C196" s="1" t="s">
        <v>95</v>
      </c>
      <c r="D196" s="1" t="s">
        <v>59</v>
      </c>
      <c r="E196" s="1" t="s">
        <v>63</v>
      </c>
      <c r="F196" s="1" t="s">
        <v>34</v>
      </c>
      <c r="G196" s="1" t="s">
        <v>46</v>
      </c>
      <c r="H196" s="11">
        <v>36</v>
      </c>
      <c r="I196" s="11">
        <v>30</v>
      </c>
      <c r="J196" s="11">
        <v>9</v>
      </c>
      <c r="K196" s="12">
        <v>4.0999999999999996</v>
      </c>
      <c r="L196" s="13">
        <v>33700</v>
      </c>
      <c r="M196" s="13">
        <v>23600</v>
      </c>
      <c r="N196" s="1" t="s">
        <v>36</v>
      </c>
    </row>
    <row r="197" spans="1:14">
      <c r="A197" s="1" t="s">
        <v>312</v>
      </c>
      <c r="B197" s="10">
        <v>45988</v>
      </c>
      <c r="C197" s="1" t="s">
        <v>102</v>
      </c>
      <c r="D197" s="1" t="s">
        <v>49</v>
      </c>
      <c r="E197" s="1" t="s">
        <v>50</v>
      </c>
      <c r="F197" s="1" t="s">
        <v>55</v>
      </c>
      <c r="G197" s="1" t="s">
        <v>56</v>
      </c>
      <c r="H197" s="11">
        <v>79</v>
      </c>
      <c r="I197" s="11">
        <v>68</v>
      </c>
      <c r="J197" s="11">
        <v>45</v>
      </c>
      <c r="K197" s="12">
        <v>4</v>
      </c>
      <c r="L197" s="13">
        <v>69600</v>
      </c>
      <c r="M197" s="13">
        <v>65300</v>
      </c>
      <c r="N197" s="1" t="s">
        <v>36</v>
      </c>
    </row>
    <row r="198" spans="1:14">
      <c r="A198" s="1" t="s">
        <v>313</v>
      </c>
      <c r="B198" s="10">
        <v>45988</v>
      </c>
      <c r="C198" s="1" t="s">
        <v>102</v>
      </c>
      <c r="D198" s="1" t="s">
        <v>105</v>
      </c>
      <c r="E198" s="1" t="s">
        <v>50</v>
      </c>
      <c r="F198" s="1" t="s">
        <v>51</v>
      </c>
      <c r="G198" s="1" t="s">
        <v>137</v>
      </c>
      <c r="H198" s="11">
        <v>82</v>
      </c>
      <c r="I198" s="11">
        <v>66</v>
      </c>
      <c r="J198" s="11">
        <v>26</v>
      </c>
      <c r="K198" s="12">
        <v>4.4000000000000004</v>
      </c>
      <c r="L198" s="13">
        <v>45000</v>
      </c>
      <c r="M198" s="13">
        <v>48400</v>
      </c>
      <c r="N198" s="1" t="s">
        <v>36</v>
      </c>
    </row>
    <row r="199" spans="1:14">
      <c r="A199" s="1" t="s">
        <v>314</v>
      </c>
      <c r="B199" s="10">
        <v>45992</v>
      </c>
      <c r="C199" s="1" t="s">
        <v>159</v>
      </c>
      <c r="D199" s="1" t="s">
        <v>39</v>
      </c>
      <c r="E199" s="1" t="s">
        <v>45</v>
      </c>
      <c r="F199" s="1" t="s">
        <v>86</v>
      </c>
      <c r="G199" s="1" t="s">
        <v>93</v>
      </c>
      <c r="H199" s="11">
        <v>151</v>
      </c>
      <c r="I199" s="11">
        <v>84</v>
      </c>
      <c r="J199" s="11">
        <v>98</v>
      </c>
      <c r="K199" s="12">
        <v>3.9</v>
      </c>
      <c r="L199" s="13">
        <v>48700</v>
      </c>
      <c r="M199" s="13">
        <v>43400</v>
      </c>
      <c r="N199" s="1" t="s">
        <v>36</v>
      </c>
    </row>
    <row r="200" spans="1:14">
      <c r="A200" s="1" t="s">
        <v>315</v>
      </c>
      <c r="B200" s="10">
        <v>45996</v>
      </c>
      <c r="C200" s="1" t="s">
        <v>104</v>
      </c>
      <c r="D200" s="1" t="s">
        <v>105</v>
      </c>
      <c r="E200" s="1" t="s">
        <v>45</v>
      </c>
      <c r="F200" s="1" t="s">
        <v>51</v>
      </c>
      <c r="G200" s="1" t="s">
        <v>137</v>
      </c>
      <c r="H200" s="11">
        <v>92</v>
      </c>
      <c r="I200" s="11">
        <v>75</v>
      </c>
      <c r="J200" s="11">
        <v>58</v>
      </c>
      <c r="K200" s="12">
        <v>4.2</v>
      </c>
      <c r="L200" s="13">
        <v>59600</v>
      </c>
      <c r="M200" s="13">
        <v>55700</v>
      </c>
      <c r="N200" s="1" t="s">
        <v>36</v>
      </c>
    </row>
    <row r="201" spans="1:14">
      <c r="A201" s="1" t="s">
        <v>316</v>
      </c>
      <c r="B201" s="10">
        <v>45999</v>
      </c>
      <c r="C201" s="1" t="s">
        <v>186</v>
      </c>
      <c r="D201" s="1" t="s">
        <v>32</v>
      </c>
      <c r="E201" s="1" t="s">
        <v>33</v>
      </c>
      <c r="F201" s="1" t="s">
        <v>77</v>
      </c>
      <c r="G201" s="1" t="s">
        <v>98</v>
      </c>
      <c r="H201" s="11">
        <v>49</v>
      </c>
      <c r="I201" s="11">
        <v>42</v>
      </c>
      <c r="J201" s="11">
        <v>150</v>
      </c>
      <c r="K201" s="12">
        <v>4.5</v>
      </c>
      <c r="L201" s="13">
        <v>10200</v>
      </c>
      <c r="M201" s="13">
        <v>10900</v>
      </c>
      <c r="N201" s="1" t="s">
        <v>36</v>
      </c>
    </row>
    <row r="202" spans="1:14">
      <c r="A202" s="1" t="s">
        <v>317</v>
      </c>
      <c r="B202" s="10">
        <v>45999</v>
      </c>
      <c r="C202" s="1" t="s">
        <v>182</v>
      </c>
      <c r="D202" s="1" t="s">
        <v>32</v>
      </c>
      <c r="E202" s="1" t="s">
        <v>33</v>
      </c>
      <c r="F202" s="1" t="s">
        <v>77</v>
      </c>
      <c r="G202" s="1" t="s">
        <v>78</v>
      </c>
      <c r="H202" s="11">
        <v>19</v>
      </c>
      <c r="I202" s="11">
        <v>18</v>
      </c>
      <c r="J202" s="11">
        <v>74</v>
      </c>
      <c r="K202" s="12">
        <v>4.3</v>
      </c>
      <c r="L202" s="13">
        <v>9600</v>
      </c>
      <c r="M202" s="13">
        <v>9600</v>
      </c>
      <c r="N202" s="1" t="s">
        <v>36</v>
      </c>
    </row>
    <row r="203" spans="1:14">
      <c r="A203" s="1" t="s">
        <v>318</v>
      </c>
      <c r="B203" s="10">
        <v>46001</v>
      </c>
      <c r="C203" s="1" t="s">
        <v>209</v>
      </c>
      <c r="D203" s="1" t="s">
        <v>39</v>
      </c>
      <c r="E203" s="1" t="s">
        <v>45</v>
      </c>
      <c r="F203" s="1" t="s">
        <v>34</v>
      </c>
      <c r="G203" s="1" t="s">
        <v>41</v>
      </c>
      <c r="H203" s="11">
        <v>65</v>
      </c>
      <c r="I203" s="11">
        <v>52</v>
      </c>
      <c r="J203" s="11">
        <v>55</v>
      </c>
      <c r="K203" s="12">
        <v>4.5</v>
      </c>
      <c r="L203" s="13">
        <v>75800</v>
      </c>
      <c r="M203" s="13">
        <v>80600</v>
      </c>
      <c r="N203" s="1" t="s">
        <v>36</v>
      </c>
    </row>
    <row r="204" spans="1:14">
      <c r="A204" s="1" t="s">
        <v>319</v>
      </c>
      <c r="B204" s="10">
        <v>46003</v>
      </c>
      <c r="C204" s="1" t="s">
        <v>302</v>
      </c>
      <c r="D204" s="1" t="s">
        <v>32</v>
      </c>
      <c r="E204" s="1" t="s">
        <v>33</v>
      </c>
      <c r="F204" s="1" t="s">
        <v>51</v>
      </c>
      <c r="G204" s="1" t="s">
        <v>137</v>
      </c>
      <c r="H204" s="11">
        <v>37</v>
      </c>
      <c r="I204" s="11">
        <v>30</v>
      </c>
      <c r="J204" s="11">
        <v>165</v>
      </c>
      <c r="K204" s="12">
        <v>4.5</v>
      </c>
      <c r="L204" s="13">
        <v>18900</v>
      </c>
      <c r="M204" s="13">
        <v>19700</v>
      </c>
      <c r="N204" s="1" t="s">
        <v>36</v>
      </c>
    </row>
    <row r="205" spans="1:14">
      <c r="A205" s="1" t="s">
        <v>320</v>
      </c>
      <c r="B205" s="10">
        <v>46006</v>
      </c>
      <c r="C205" s="1" t="s">
        <v>179</v>
      </c>
      <c r="D205" s="1" t="s">
        <v>49</v>
      </c>
      <c r="E205" s="1" t="s">
        <v>50</v>
      </c>
      <c r="F205" s="1" t="s">
        <v>34</v>
      </c>
      <c r="G205" s="1" t="s">
        <v>35</v>
      </c>
      <c r="H205" s="11">
        <v>56</v>
      </c>
      <c r="I205" s="11">
        <v>49</v>
      </c>
      <c r="J205" s="11">
        <v>12</v>
      </c>
      <c r="K205" s="12">
        <v>4.3</v>
      </c>
      <c r="L205" s="13">
        <v>84500</v>
      </c>
      <c r="M205" s="13">
        <v>73800</v>
      </c>
      <c r="N205" s="1" t="s">
        <v>36</v>
      </c>
    </row>
    <row r="206" spans="1:14">
      <c r="A206" s="1" t="s">
        <v>321</v>
      </c>
      <c r="B206" s="10">
        <v>46008</v>
      </c>
      <c r="C206" s="1" t="s">
        <v>271</v>
      </c>
      <c r="D206" s="1" t="s">
        <v>32</v>
      </c>
      <c r="E206" s="1" t="s">
        <v>33</v>
      </c>
      <c r="F206" s="1" t="s">
        <v>55</v>
      </c>
      <c r="G206" s="1" t="s">
        <v>100</v>
      </c>
      <c r="H206" s="11">
        <v>44</v>
      </c>
      <c r="I206" s="11">
        <v>37</v>
      </c>
      <c r="J206" s="11">
        <v>162</v>
      </c>
      <c r="K206" s="12">
        <v>4.3</v>
      </c>
      <c r="L206" s="13">
        <v>6100</v>
      </c>
      <c r="M206" s="13">
        <v>5800</v>
      </c>
      <c r="N206" s="1" t="s">
        <v>36</v>
      </c>
    </row>
    <row r="207" spans="1:14">
      <c r="A207" s="1" t="s">
        <v>322</v>
      </c>
      <c r="B207" s="10">
        <v>46009</v>
      </c>
      <c r="C207" s="1" t="s">
        <v>179</v>
      </c>
      <c r="D207" s="1" t="s">
        <v>105</v>
      </c>
      <c r="E207" s="1" t="s">
        <v>50</v>
      </c>
      <c r="F207" s="1" t="s">
        <v>64</v>
      </c>
      <c r="G207" s="1" t="s">
        <v>83</v>
      </c>
      <c r="H207" s="11">
        <v>58</v>
      </c>
      <c r="I207" s="11">
        <v>52</v>
      </c>
      <c r="J207" s="11">
        <v>37</v>
      </c>
      <c r="K207" s="12">
        <v>4.4000000000000004</v>
      </c>
      <c r="L207" s="13">
        <v>65600</v>
      </c>
      <c r="M207" s="13">
        <v>45400</v>
      </c>
      <c r="N207" s="1" t="s">
        <v>36</v>
      </c>
    </row>
    <row r="208" spans="1:14">
      <c r="A208" s="1" t="s">
        <v>323</v>
      </c>
      <c r="B208" s="10">
        <v>46011</v>
      </c>
      <c r="C208" s="1" t="s">
        <v>108</v>
      </c>
      <c r="D208" s="1" t="s">
        <v>105</v>
      </c>
      <c r="E208" s="1" t="s">
        <v>45</v>
      </c>
      <c r="F208" s="1" t="s">
        <v>86</v>
      </c>
      <c r="G208" s="1" t="s">
        <v>93</v>
      </c>
      <c r="H208" s="11">
        <v>81</v>
      </c>
      <c r="I208" s="11">
        <v>42</v>
      </c>
      <c r="J208" s="11">
        <v>41</v>
      </c>
      <c r="K208" s="12">
        <v>3.8</v>
      </c>
      <c r="L208" s="13">
        <v>39300</v>
      </c>
      <c r="M208" s="13">
        <v>36500</v>
      </c>
      <c r="N208" s="1" t="s">
        <v>36</v>
      </c>
    </row>
    <row r="209" spans="1:14">
      <c r="A209" s="1" t="s">
        <v>324</v>
      </c>
      <c r="B209" s="10">
        <v>46013</v>
      </c>
      <c r="C209" s="1" t="s">
        <v>150</v>
      </c>
      <c r="D209" s="1" t="s">
        <v>32</v>
      </c>
      <c r="E209" s="1" t="s">
        <v>33</v>
      </c>
      <c r="F209" s="1" t="s">
        <v>55</v>
      </c>
      <c r="G209" s="1" t="s">
        <v>56</v>
      </c>
      <c r="H209" s="11">
        <v>40</v>
      </c>
      <c r="I209" s="11">
        <v>33</v>
      </c>
      <c r="J209" s="11">
        <v>149</v>
      </c>
      <c r="K209" s="12">
        <v>4.4000000000000004</v>
      </c>
      <c r="L209" s="13">
        <v>18100</v>
      </c>
      <c r="M209" s="13">
        <v>18200</v>
      </c>
      <c r="N209" s="1" t="s">
        <v>36</v>
      </c>
    </row>
    <row r="210" spans="1:14">
      <c r="A210" s="1" t="s">
        <v>325</v>
      </c>
      <c r="B210" s="10">
        <v>46016</v>
      </c>
      <c r="C210" s="1" t="s">
        <v>108</v>
      </c>
      <c r="D210" s="1" t="s">
        <v>105</v>
      </c>
      <c r="E210" s="1" t="s">
        <v>45</v>
      </c>
      <c r="F210" s="1" t="s">
        <v>34</v>
      </c>
      <c r="G210" s="1" t="s">
        <v>41</v>
      </c>
      <c r="H210" s="11">
        <v>103</v>
      </c>
      <c r="I210" s="11">
        <v>94</v>
      </c>
      <c r="J210" s="11">
        <v>76</v>
      </c>
      <c r="K210" s="12">
        <v>4.3</v>
      </c>
      <c r="L210" s="13">
        <v>23200</v>
      </c>
      <c r="M210" s="13">
        <v>23200</v>
      </c>
      <c r="N210" s="1" t="s">
        <v>36</v>
      </c>
    </row>
    <row r="211" spans="1:14">
      <c r="A211" s="1" t="s">
        <v>326</v>
      </c>
      <c r="B211" s="10">
        <v>46016</v>
      </c>
      <c r="C211" s="1" t="s">
        <v>209</v>
      </c>
      <c r="D211" s="1" t="s">
        <v>44</v>
      </c>
      <c r="E211" s="1" t="s">
        <v>45</v>
      </c>
      <c r="F211" s="1" t="s">
        <v>51</v>
      </c>
      <c r="G211" s="1" t="s">
        <v>137</v>
      </c>
      <c r="H211" s="11">
        <v>175</v>
      </c>
      <c r="I211" s="11">
        <v>141</v>
      </c>
      <c r="J211" s="11">
        <v>73</v>
      </c>
      <c r="K211" s="12">
        <v>4.4000000000000004</v>
      </c>
      <c r="L211" s="13">
        <v>79100</v>
      </c>
      <c r="M211" s="13">
        <v>71200</v>
      </c>
      <c r="N211" s="1" t="s">
        <v>36</v>
      </c>
    </row>
    <row r="212" spans="1:14">
      <c r="A212" s="1" t="s">
        <v>327</v>
      </c>
      <c r="B212" s="10">
        <v>46021</v>
      </c>
      <c r="C212" s="1" t="s">
        <v>102</v>
      </c>
      <c r="D212" s="1" t="s">
        <v>49</v>
      </c>
      <c r="E212" s="1" t="s">
        <v>50</v>
      </c>
      <c r="F212" s="1" t="s">
        <v>86</v>
      </c>
      <c r="G212" s="1" t="s">
        <v>87</v>
      </c>
      <c r="H212" s="11">
        <v>38</v>
      </c>
      <c r="I212" s="11">
        <v>22</v>
      </c>
      <c r="J212" s="11">
        <v>17</v>
      </c>
      <c r="K212" s="12">
        <v>4.3</v>
      </c>
      <c r="L212" s="13">
        <v>85700</v>
      </c>
      <c r="M212" s="13">
        <v>89500</v>
      </c>
      <c r="N212" s="1" t="s">
        <v>36</v>
      </c>
    </row>
    <row r="213" spans="1:14">
      <c r="A213" s="1" t="s">
        <v>328</v>
      </c>
      <c r="B213" s="10">
        <v>46022</v>
      </c>
      <c r="C213" s="1" t="s">
        <v>133</v>
      </c>
      <c r="D213" s="1" t="s">
        <v>32</v>
      </c>
      <c r="E213" s="1" t="s">
        <v>33</v>
      </c>
      <c r="F213" s="1" t="s">
        <v>34</v>
      </c>
      <c r="G213" s="1" t="s">
        <v>46</v>
      </c>
      <c r="H213" s="11">
        <v>33</v>
      </c>
      <c r="I213" s="11">
        <v>31</v>
      </c>
      <c r="J213" s="11">
        <v>186</v>
      </c>
      <c r="K213" s="12">
        <v>4.3</v>
      </c>
      <c r="L213" s="13">
        <v>13200</v>
      </c>
      <c r="M213" s="13">
        <v>14200</v>
      </c>
      <c r="N213" s="1" t="s">
        <v>36</v>
      </c>
    </row>
    <row r="214" spans="1:14">
      <c r="A214" s="1" t="s">
        <v>329</v>
      </c>
      <c r="B214" s="10">
        <v>46028</v>
      </c>
      <c r="C214" s="1" t="s">
        <v>229</v>
      </c>
      <c r="D214" s="1" t="s">
        <v>39</v>
      </c>
      <c r="E214" s="1" t="s">
        <v>63</v>
      </c>
      <c r="F214" s="1" t="s">
        <v>34</v>
      </c>
      <c r="G214" s="1" t="s">
        <v>35</v>
      </c>
      <c r="H214" s="11">
        <v>36</v>
      </c>
      <c r="I214" s="11">
        <v>30</v>
      </c>
      <c r="J214" s="11">
        <v>3</v>
      </c>
      <c r="K214" s="12">
        <v>4.4000000000000004</v>
      </c>
      <c r="L214" s="13">
        <v>12800</v>
      </c>
      <c r="M214" s="13">
        <v>11100</v>
      </c>
      <c r="N214" s="1" t="s">
        <v>36</v>
      </c>
    </row>
    <row r="215" spans="1:14">
      <c r="A215" s="1" t="s">
        <v>330</v>
      </c>
      <c r="B215" s="10">
        <v>46029</v>
      </c>
      <c r="C215" s="1" t="s">
        <v>225</v>
      </c>
      <c r="D215" s="1" t="s">
        <v>82</v>
      </c>
      <c r="E215" s="1" t="s">
        <v>60</v>
      </c>
      <c r="F215" s="1" t="s">
        <v>64</v>
      </c>
      <c r="G215" s="1" t="s">
        <v>109</v>
      </c>
      <c r="H215" s="11">
        <v>24</v>
      </c>
      <c r="I215" s="11">
        <v>20</v>
      </c>
      <c r="J215" s="11">
        <v>4</v>
      </c>
      <c r="K215" s="12">
        <v>4.4000000000000004</v>
      </c>
      <c r="L215" s="13">
        <v>16600</v>
      </c>
      <c r="M215" s="13">
        <v>16900</v>
      </c>
      <c r="N215" s="1" t="s">
        <v>36</v>
      </c>
    </row>
    <row r="216" spans="1:14">
      <c r="A216" s="1" t="s">
        <v>331</v>
      </c>
      <c r="B216" s="10">
        <v>46030</v>
      </c>
      <c r="C216" s="1" t="s">
        <v>38</v>
      </c>
      <c r="D216" s="1" t="s">
        <v>44</v>
      </c>
      <c r="E216" s="1" t="s">
        <v>40</v>
      </c>
      <c r="F216" s="1" t="s">
        <v>86</v>
      </c>
      <c r="G216" s="1" t="s">
        <v>93</v>
      </c>
      <c r="H216" s="11">
        <v>107</v>
      </c>
      <c r="I216" s="11">
        <v>61</v>
      </c>
      <c r="J216" s="11">
        <v>96</v>
      </c>
      <c r="K216" s="12">
        <v>3.7</v>
      </c>
      <c r="L216" s="13">
        <v>20900</v>
      </c>
      <c r="M216" s="13">
        <v>15500</v>
      </c>
      <c r="N216" s="1" t="s">
        <v>36</v>
      </c>
    </row>
    <row r="217" spans="1:14">
      <c r="A217" s="1" t="s">
        <v>332</v>
      </c>
      <c r="B217" s="10">
        <v>46031</v>
      </c>
      <c r="C217" s="1" t="s">
        <v>163</v>
      </c>
      <c r="D217" s="1" t="s">
        <v>82</v>
      </c>
      <c r="E217" s="1" t="s">
        <v>60</v>
      </c>
      <c r="F217" s="1" t="s">
        <v>64</v>
      </c>
      <c r="G217" s="1" t="s">
        <v>65</v>
      </c>
      <c r="H217" s="11">
        <v>21</v>
      </c>
      <c r="I217" s="11">
        <v>19</v>
      </c>
      <c r="J217" s="11">
        <v>8</v>
      </c>
      <c r="K217" s="12">
        <v>4.5999999999999996</v>
      </c>
      <c r="L217" s="13">
        <v>10100</v>
      </c>
      <c r="M217" s="13">
        <v>8100</v>
      </c>
      <c r="N217" s="1" t="s">
        <v>36</v>
      </c>
    </row>
    <row r="218" spans="1:14">
      <c r="A218" s="1" t="s">
        <v>333</v>
      </c>
      <c r="B218" s="10">
        <v>46033</v>
      </c>
      <c r="C218" s="1" t="s">
        <v>168</v>
      </c>
      <c r="D218" s="1" t="s">
        <v>82</v>
      </c>
      <c r="E218" s="1" t="s">
        <v>60</v>
      </c>
      <c r="F218" s="1" t="s">
        <v>34</v>
      </c>
      <c r="G218" s="1" t="s">
        <v>46</v>
      </c>
      <c r="H218" s="11">
        <v>18</v>
      </c>
      <c r="I218" s="11">
        <v>16</v>
      </c>
      <c r="J218" s="11">
        <v>5</v>
      </c>
      <c r="K218" s="12">
        <v>4.7</v>
      </c>
      <c r="L218" s="13">
        <v>8000</v>
      </c>
      <c r="M218" s="13">
        <v>6400</v>
      </c>
      <c r="N218" s="1" t="s">
        <v>36</v>
      </c>
    </row>
    <row r="219" spans="1:14">
      <c r="A219" s="1" t="s">
        <v>334</v>
      </c>
      <c r="B219" s="10">
        <v>46037</v>
      </c>
      <c r="C219" s="1" t="s">
        <v>159</v>
      </c>
      <c r="D219" s="1" t="s">
        <v>39</v>
      </c>
      <c r="E219" s="1" t="s">
        <v>45</v>
      </c>
      <c r="F219" s="1" t="s">
        <v>34</v>
      </c>
      <c r="G219" s="1" t="s">
        <v>41</v>
      </c>
      <c r="H219" s="11">
        <v>142</v>
      </c>
      <c r="I219" s="11">
        <v>130</v>
      </c>
      <c r="J219" s="11">
        <v>61</v>
      </c>
      <c r="K219" s="12">
        <v>4.3</v>
      </c>
      <c r="L219" s="13">
        <v>40500</v>
      </c>
      <c r="M219" s="13">
        <v>38400</v>
      </c>
      <c r="N219" s="1" t="s">
        <v>36</v>
      </c>
    </row>
    <row r="220" spans="1:14">
      <c r="A220" s="1" t="s">
        <v>335</v>
      </c>
      <c r="B220" s="10">
        <v>46037</v>
      </c>
      <c r="C220" s="1" t="s">
        <v>95</v>
      </c>
      <c r="D220" s="1" t="s">
        <v>59</v>
      </c>
      <c r="E220" s="1" t="s">
        <v>63</v>
      </c>
      <c r="F220" s="1" t="s">
        <v>34</v>
      </c>
      <c r="G220" s="1" t="s">
        <v>46</v>
      </c>
      <c r="H220" s="11">
        <v>69</v>
      </c>
      <c r="I220" s="11">
        <v>63</v>
      </c>
      <c r="J220" s="11">
        <v>29</v>
      </c>
      <c r="K220" s="12">
        <v>4.2</v>
      </c>
      <c r="L220" s="13">
        <v>30900</v>
      </c>
      <c r="M220" s="13">
        <v>33800</v>
      </c>
      <c r="N220" s="1" t="s">
        <v>36</v>
      </c>
    </row>
    <row r="221" spans="1:14">
      <c r="A221" s="1" t="s">
        <v>336</v>
      </c>
      <c r="B221" s="10">
        <v>46038</v>
      </c>
      <c r="C221" s="1" t="s">
        <v>104</v>
      </c>
      <c r="D221" s="1" t="s">
        <v>105</v>
      </c>
      <c r="E221" s="1" t="s">
        <v>45</v>
      </c>
      <c r="F221" s="1" t="s">
        <v>51</v>
      </c>
      <c r="G221" s="1" t="s">
        <v>52</v>
      </c>
      <c r="H221" s="11">
        <v>68</v>
      </c>
      <c r="I221" s="11">
        <v>62</v>
      </c>
      <c r="J221" s="11">
        <v>51</v>
      </c>
      <c r="K221" s="12"/>
      <c r="L221" s="13">
        <v>71900</v>
      </c>
      <c r="M221" s="13">
        <v>65100</v>
      </c>
      <c r="N221" s="1" t="s">
        <v>36</v>
      </c>
    </row>
    <row r="222" spans="1:14">
      <c r="A222" s="1" t="s">
        <v>337</v>
      </c>
      <c r="B222" s="10">
        <v>46042</v>
      </c>
      <c r="C222" s="1" t="s">
        <v>221</v>
      </c>
      <c r="D222" s="1" t="s">
        <v>32</v>
      </c>
      <c r="E222" s="1" t="s">
        <v>40</v>
      </c>
      <c r="F222" s="1" t="s">
        <v>55</v>
      </c>
      <c r="G222" s="1" t="s">
        <v>100</v>
      </c>
      <c r="H222" s="11">
        <v>69</v>
      </c>
      <c r="I222" s="11">
        <v>57</v>
      </c>
      <c r="J222" s="11">
        <v>101</v>
      </c>
      <c r="K222" s="12">
        <v>4</v>
      </c>
      <c r="L222" s="13">
        <v>44700</v>
      </c>
      <c r="M222" s="13">
        <v>46400</v>
      </c>
      <c r="N222" s="1" t="s">
        <v>36</v>
      </c>
    </row>
    <row r="223" spans="1:14">
      <c r="A223" s="1" t="s">
        <v>338</v>
      </c>
      <c r="B223" s="10">
        <v>46043</v>
      </c>
      <c r="C223" s="1" t="s">
        <v>111</v>
      </c>
      <c r="D223" s="1" t="s">
        <v>59</v>
      </c>
      <c r="E223" s="1" t="s">
        <v>60</v>
      </c>
      <c r="F223" s="1" t="s">
        <v>51</v>
      </c>
      <c r="G223" s="1" t="s">
        <v>70</v>
      </c>
      <c r="H223" s="11">
        <v>19</v>
      </c>
      <c r="I223" s="11">
        <v>17</v>
      </c>
      <c r="J223" s="11">
        <v>7</v>
      </c>
      <c r="K223" s="12">
        <v>4.4000000000000004</v>
      </c>
      <c r="L223" s="13">
        <v>9400</v>
      </c>
      <c r="M223" s="13">
        <v>8600</v>
      </c>
      <c r="N223" s="1" t="s">
        <v>36</v>
      </c>
    </row>
    <row r="224" spans="1:14">
      <c r="A224" s="1" t="s">
        <v>339</v>
      </c>
      <c r="B224" s="10">
        <v>46045</v>
      </c>
      <c r="C224" s="1" t="s">
        <v>125</v>
      </c>
      <c r="D224" s="1" t="s">
        <v>59</v>
      </c>
      <c r="E224" s="1" t="s">
        <v>63</v>
      </c>
      <c r="F224" s="1" t="s">
        <v>64</v>
      </c>
      <c r="G224" s="1" t="s">
        <v>65</v>
      </c>
      <c r="H224" s="11">
        <v>68</v>
      </c>
      <c r="I224" s="11">
        <v>55</v>
      </c>
      <c r="J224" s="11">
        <v>22</v>
      </c>
      <c r="K224" s="12">
        <v>4.4000000000000004</v>
      </c>
      <c r="L224" s="13">
        <v>8700</v>
      </c>
      <c r="M224" s="13">
        <v>6000</v>
      </c>
      <c r="N224" s="1" t="s">
        <v>36</v>
      </c>
    </row>
    <row r="225" spans="1:14">
      <c r="A225" s="1" t="s">
        <v>340</v>
      </c>
      <c r="B225" s="10">
        <v>46048</v>
      </c>
      <c r="C225" s="1" t="s">
        <v>76</v>
      </c>
      <c r="D225" s="1" t="s">
        <v>59</v>
      </c>
      <c r="E225" s="1" t="s">
        <v>63</v>
      </c>
      <c r="F225" s="1" t="s">
        <v>64</v>
      </c>
      <c r="G225" s="1" t="s">
        <v>109</v>
      </c>
      <c r="H225" s="11">
        <v>67</v>
      </c>
      <c r="I225" s="11">
        <v>61</v>
      </c>
      <c r="J225" s="11">
        <v>26</v>
      </c>
      <c r="K225" s="12">
        <v>4.4000000000000004</v>
      </c>
      <c r="L225" s="13">
        <v>26000</v>
      </c>
      <c r="M225" s="13">
        <v>28700</v>
      </c>
      <c r="N225" s="1" t="s">
        <v>36</v>
      </c>
    </row>
    <row r="226" spans="1:14">
      <c r="A226" s="1" t="s">
        <v>341</v>
      </c>
      <c r="B226" s="10">
        <v>46048</v>
      </c>
      <c r="C226" s="1" t="s">
        <v>108</v>
      </c>
      <c r="D226" s="1" t="s">
        <v>44</v>
      </c>
      <c r="E226" s="1" t="s">
        <v>45</v>
      </c>
      <c r="F226" s="1" t="s">
        <v>86</v>
      </c>
      <c r="G226" s="1" t="s">
        <v>87</v>
      </c>
      <c r="H226" s="11">
        <v>80</v>
      </c>
      <c r="I226" s="11">
        <v>48</v>
      </c>
      <c r="J226" s="11">
        <v>37</v>
      </c>
      <c r="K226" s="12">
        <v>4.2</v>
      </c>
      <c r="L226" s="13">
        <v>54400</v>
      </c>
      <c r="M226" s="13">
        <v>57200</v>
      </c>
      <c r="N226" s="1" t="s">
        <v>36</v>
      </c>
    </row>
    <row r="227" spans="1:14">
      <c r="A227" s="1" t="s">
        <v>342</v>
      </c>
      <c r="B227" s="10">
        <v>46049</v>
      </c>
      <c r="C227" s="1" t="s">
        <v>125</v>
      </c>
      <c r="D227" s="1" t="s">
        <v>59</v>
      </c>
      <c r="E227" s="1" t="s">
        <v>63</v>
      </c>
      <c r="F227" s="1" t="s">
        <v>86</v>
      </c>
      <c r="G227" s="1" t="s">
        <v>93</v>
      </c>
      <c r="H227" s="11">
        <v>37</v>
      </c>
      <c r="I227" s="11">
        <v>22</v>
      </c>
      <c r="J227" s="11">
        <v>4</v>
      </c>
      <c r="K227" s="12">
        <v>4</v>
      </c>
      <c r="L227" s="13">
        <v>32700</v>
      </c>
      <c r="M227" s="13">
        <v>35000</v>
      </c>
      <c r="N227" s="1" t="s">
        <v>36</v>
      </c>
    </row>
    <row r="228" spans="1:14">
      <c r="A228" s="1" t="s">
        <v>343</v>
      </c>
      <c r="B228" s="10">
        <v>46051</v>
      </c>
      <c r="C228" s="1" t="s">
        <v>38</v>
      </c>
      <c r="D228" s="1" t="s">
        <v>39</v>
      </c>
      <c r="E228" s="1" t="s">
        <v>40</v>
      </c>
      <c r="F228" s="1" t="s">
        <v>51</v>
      </c>
      <c r="G228" s="1" t="s">
        <v>70</v>
      </c>
      <c r="H228" s="11">
        <v>71</v>
      </c>
      <c r="I228" s="11">
        <v>60</v>
      </c>
      <c r="J228" s="11">
        <v>117</v>
      </c>
      <c r="K228" s="12">
        <v>4</v>
      </c>
      <c r="L228" s="13">
        <v>52500</v>
      </c>
      <c r="M228" s="13">
        <v>39300</v>
      </c>
      <c r="N228" s="1" t="s">
        <v>36</v>
      </c>
    </row>
    <row r="229" spans="1:14">
      <c r="A229" s="1" t="s">
        <v>344</v>
      </c>
      <c r="B229" s="10">
        <v>46055</v>
      </c>
      <c r="C229" s="1" t="s">
        <v>111</v>
      </c>
      <c r="D229" s="1" t="s">
        <v>82</v>
      </c>
      <c r="E229" s="1" t="s">
        <v>60</v>
      </c>
      <c r="F229" s="1" t="s">
        <v>64</v>
      </c>
      <c r="G229" s="1" t="s">
        <v>65</v>
      </c>
      <c r="H229" s="11">
        <v>27</v>
      </c>
      <c r="I229" s="11">
        <v>12</v>
      </c>
      <c r="J229" s="11">
        <v>6</v>
      </c>
      <c r="K229" s="12">
        <v>4.4000000000000004</v>
      </c>
      <c r="L229" s="13">
        <v>7600</v>
      </c>
      <c r="M229" s="13">
        <v>6700</v>
      </c>
      <c r="N229" s="1" t="s">
        <v>36</v>
      </c>
    </row>
    <row r="230" spans="1:14">
      <c r="A230" s="1" t="s">
        <v>345</v>
      </c>
      <c r="B230" s="10">
        <v>46056</v>
      </c>
      <c r="C230" s="1" t="s">
        <v>143</v>
      </c>
      <c r="D230" s="1" t="s">
        <v>32</v>
      </c>
      <c r="E230" s="1" t="s">
        <v>33</v>
      </c>
      <c r="F230" s="1" t="s">
        <v>55</v>
      </c>
      <c r="G230" s="1" t="s">
        <v>89</v>
      </c>
      <c r="H230" s="11">
        <v>27</v>
      </c>
      <c r="I230" s="11">
        <v>24</v>
      </c>
      <c r="J230" s="11">
        <v>195</v>
      </c>
      <c r="K230" s="12">
        <v>4.5</v>
      </c>
      <c r="L230" s="13">
        <v>5900</v>
      </c>
      <c r="M230" s="13">
        <v>5700</v>
      </c>
      <c r="N230" s="1" t="s">
        <v>36</v>
      </c>
    </row>
    <row r="231" spans="1:14">
      <c r="A231" s="1" t="s">
        <v>346</v>
      </c>
      <c r="B231" s="10">
        <v>46069</v>
      </c>
      <c r="C231" s="1" t="s">
        <v>182</v>
      </c>
      <c r="D231" s="1" t="s">
        <v>32</v>
      </c>
      <c r="E231" s="1" t="s">
        <v>33</v>
      </c>
      <c r="F231" s="1" t="s">
        <v>34</v>
      </c>
      <c r="G231" s="1" t="s">
        <v>46</v>
      </c>
      <c r="H231" s="11">
        <v>31</v>
      </c>
      <c r="I231" s="11">
        <v>28</v>
      </c>
      <c r="J231" s="11">
        <v>294</v>
      </c>
      <c r="K231" s="12">
        <v>4.2</v>
      </c>
      <c r="L231" s="13">
        <v>24700</v>
      </c>
      <c r="M231" s="13">
        <v>23900</v>
      </c>
      <c r="N231" s="1" t="s">
        <v>36</v>
      </c>
    </row>
    <row r="232" spans="1:14">
      <c r="A232" s="1" t="s">
        <v>347</v>
      </c>
      <c r="B232" s="10">
        <v>46070</v>
      </c>
      <c r="C232" s="1" t="s">
        <v>204</v>
      </c>
      <c r="D232" s="1" t="s">
        <v>32</v>
      </c>
      <c r="E232" s="1" t="s">
        <v>33</v>
      </c>
      <c r="F232" s="1" t="s">
        <v>86</v>
      </c>
      <c r="G232" s="1" t="s">
        <v>87</v>
      </c>
      <c r="H232" s="11">
        <v>51</v>
      </c>
      <c r="I232" s="11">
        <v>30</v>
      </c>
      <c r="J232" s="11">
        <v>241</v>
      </c>
      <c r="K232" s="12">
        <v>4.4000000000000004</v>
      </c>
      <c r="L232" s="13">
        <v>20200</v>
      </c>
      <c r="M232" s="13">
        <v>18100</v>
      </c>
      <c r="N232" s="1" t="s">
        <v>36</v>
      </c>
    </row>
    <row r="233" spans="1:14">
      <c r="A233" s="1" t="s">
        <v>348</v>
      </c>
      <c r="B233" s="10">
        <v>46070</v>
      </c>
      <c r="C233" s="1" t="s">
        <v>150</v>
      </c>
      <c r="D233" s="1" t="s">
        <v>32</v>
      </c>
      <c r="E233" s="1" t="s">
        <v>33</v>
      </c>
      <c r="F233" s="1" t="s">
        <v>77</v>
      </c>
      <c r="G233" s="1" t="s">
        <v>98</v>
      </c>
      <c r="H233" s="11">
        <v>29</v>
      </c>
      <c r="I233" s="11">
        <v>25</v>
      </c>
      <c r="J233" s="11">
        <v>310</v>
      </c>
      <c r="K233" s="12">
        <v>4.3</v>
      </c>
      <c r="L233" s="13">
        <v>9500</v>
      </c>
      <c r="M233" s="13">
        <v>8300</v>
      </c>
      <c r="N233" s="1" t="s">
        <v>36</v>
      </c>
    </row>
    <row r="234" spans="1:14">
      <c r="A234" s="1" t="s">
        <v>349</v>
      </c>
      <c r="B234" s="10">
        <v>46071</v>
      </c>
      <c r="C234" s="1" t="s">
        <v>125</v>
      </c>
      <c r="D234" s="1" t="s">
        <v>49</v>
      </c>
      <c r="E234" s="1" t="s">
        <v>63</v>
      </c>
      <c r="F234" s="1" t="s">
        <v>55</v>
      </c>
      <c r="G234" s="1" t="s">
        <v>100</v>
      </c>
      <c r="H234" s="11">
        <v>50</v>
      </c>
      <c r="I234" s="11">
        <v>28</v>
      </c>
      <c r="J234" s="11">
        <v>1</v>
      </c>
      <c r="K234" s="12">
        <v>4.3</v>
      </c>
      <c r="L234" s="13">
        <v>27500</v>
      </c>
      <c r="M234" s="13">
        <v>23400</v>
      </c>
      <c r="N234" s="1" t="s">
        <v>36</v>
      </c>
    </row>
    <row r="235" spans="1:14">
      <c r="A235" s="1" t="s">
        <v>350</v>
      </c>
      <c r="B235" s="10">
        <v>46072</v>
      </c>
      <c r="C235" s="1" t="s">
        <v>121</v>
      </c>
      <c r="D235" s="1" t="s">
        <v>82</v>
      </c>
      <c r="E235" s="1" t="s">
        <v>63</v>
      </c>
      <c r="F235" s="1" t="s">
        <v>86</v>
      </c>
      <c r="G235" s="1" t="s">
        <v>93</v>
      </c>
      <c r="H235" s="11">
        <v>39</v>
      </c>
      <c r="I235" s="11">
        <v>14</v>
      </c>
      <c r="J235" s="11">
        <v>6</v>
      </c>
      <c r="K235" s="12">
        <v>4.0999999999999996</v>
      </c>
      <c r="L235" s="13">
        <v>23400</v>
      </c>
      <c r="M235" s="13">
        <v>20400</v>
      </c>
      <c r="N235" s="1" t="s">
        <v>36</v>
      </c>
    </row>
    <row r="236" spans="1:14">
      <c r="A236" s="1" t="s">
        <v>351</v>
      </c>
      <c r="B236" s="10">
        <v>46072</v>
      </c>
      <c r="C236" s="1" t="s">
        <v>147</v>
      </c>
      <c r="D236" s="1" t="s">
        <v>82</v>
      </c>
      <c r="E236" s="1" t="s">
        <v>60</v>
      </c>
      <c r="F236" s="1" t="s">
        <v>34</v>
      </c>
      <c r="G236" s="1" t="s">
        <v>35</v>
      </c>
      <c r="H236" s="11">
        <v>19</v>
      </c>
      <c r="I236" s="11">
        <v>11</v>
      </c>
      <c r="J236" s="11">
        <v>5</v>
      </c>
      <c r="K236" s="12">
        <v>4.3</v>
      </c>
      <c r="L236" s="13">
        <v>6500</v>
      </c>
      <c r="M236" s="13">
        <v>6400</v>
      </c>
      <c r="N236" s="1" t="s">
        <v>36</v>
      </c>
    </row>
    <row r="237" spans="1:14">
      <c r="A237" s="1" t="s">
        <v>352</v>
      </c>
      <c r="B237" s="10">
        <v>46076</v>
      </c>
      <c r="C237" s="1" t="s">
        <v>133</v>
      </c>
      <c r="D237" s="1" t="s">
        <v>32</v>
      </c>
      <c r="E237" s="1" t="s">
        <v>33</v>
      </c>
      <c r="F237" s="1" t="s">
        <v>34</v>
      </c>
      <c r="G237" s="1" t="s">
        <v>46</v>
      </c>
      <c r="H237" s="11">
        <v>21</v>
      </c>
      <c r="I237" s="11">
        <v>17</v>
      </c>
      <c r="J237" s="11">
        <v>169</v>
      </c>
      <c r="K237" s="12">
        <v>4.7</v>
      </c>
      <c r="L237" s="13">
        <v>8800</v>
      </c>
      <c r="M237" s="13">
        <v>9200</v>
      </c>
      <c r="N237" s="1" t="s">
        <v>36</v>
      </c>
    </row>
    <row r="238" spans="1:14">
      <c r="A238" s="1" t="s">
        <v>353</v>
      </c>
      <c r="B238" s="10">
        <v>46078</v>
      </c>
      <c r="C238" s="1" t="s">
        <v>186</v>
      </c>
      <c r="D238" s="1" t="s">
        <v>32</v>
      </c>
      <c r="E238" s="1" t="s">
        <v>33</v>
      </c>
      <c r="F238" s="1" t="s">
        <v>86</v>
      </c>
      <c r="G238" s="1" t="s">
        <v>87</v>
      </c>
      <c r="H238" s="11">
        <v>53</v>
      </c>
      <c r="I238" s="11">
        <v>31</v>
      </c>
      <c r="J238" s="11">
        <v>395</v>
      </c>
      <c r="K238" s="12">
        <v>4.5999999999999996</v>
      </c>
      <c r="L238" s="13">
        <v>9100</v>
      </c>
      <c r="M238" s="13">
        <v>9600</v>
      </c>
      <c r="N238" s="1" t="s">
        <v>36</v>
      </c>
    </row>
    <row r="239" spans="1:14">
      <c r="A239" s="1" t="s">
        <v>354</v>
      </c>
      <c r="B239" s="10">
        <v>46078</v>
      </c>
      <c r="C239" s="1" t="s">
        <v>111</v>
      </c>
      <c r="D239" s="1" t="s">
        <v>82</v>
      </c>
      <c r="E239" s="1" t="s">
        <v>60</v>
      </c>
      <c r="F239" s="1" t="s">
        <v>34</v>
      </c>
      <c r="G239" s="1" t="s">
        <v>41</v>
      </c>
      <c r="H239" s="11">
        <v>18</v>
      </c>
      <c r="I239" s="11">
        <v>9</v>
      </c>
      <c r="J239" s="11">
        <v>4</v>
      </c>
      <c r="K239" s="12">
        <v>4.7</v>
      </c>
      <c r="L239" s="13">
        <v>7800</v>
      </c>
      <c r="M239" s="13">
        <v>7300</v>
      </c>
      <c r="N239" s="1" t="s">
        <v>36</v>
      </c>
    </row>
    <row r="240" spans="1:14">
      <c r="A240" s="1" t="s">
        <v>355</v>
      </c>
      <c r="B240" s="10">
        <v>46080</v>
      </c>
      <c r="C240" s="1" t="s">
        <v>54</v>
      </c>
      <c r="D240" s="1" t="s">
        <v>32</v>
      </c>
      <c r="E240" s="1" t="s">
        <v>40</v>
      </c>
      <c r="F240" s="1" t="s">
        <v>55</v>
      </c>
      <c r="G240" s="1" t="s">
        <v>56</v>
      </c>
      <c r="H240" s="11">
        <v>102</v>
      </c>
      <c r="I240" s="11">
        <v>91</v>
      </c>
      <c r="J240" s="11">
        <v>299</v>
      </c>
      <c r="K240" s="12">
        <v>4.0999999999999996</v>
      </c>
      <c r="L240" s="13">
        <v>44700</v>
      </c>
      <c r="M240" s="13">
        <v>30800</v>
      </c>
      <c r="N240" s="1" t="s">
        <v>36</v>
      </c>
    </row>
    <row r="241" spans="1:14">
      <c r="A241" s="1" t="s">
        <v>356</v>
      </c>
      <c r="B241" s="10">
        <v>46083</v>
      </c>
      <c r="C241" s="1" t="s">
        <v>115</v>
      </c>
      <c r="D241" s="1" t="s">
        <v>49</v>
      </c>
      <c r="E241" s="1" t="s">
        <v>63</v>
      </c>
      <c r="F241" s="1" t="s">
        <v>64</v>
      </c>
      <c r="G241" s="1" t="s">
        <v>109</v>
      </c>
      <c r="H241" s="11">
        <v>52</v>
      </c>
      <c r="I241" s="11">
        <v>25</v>
      </c>
      <c r="J241" s="11">
        <v>3</v>
      </c>
      <c r="K241" s="12">
        <v>4.0999999999999996</v>
      </c>
      <c r="L241" s="13">
        <v>30000</v>
      </c>
      <c r="M241" s="13">
        <v>24900</v>
      </c>
      <c r="N241" s="1" t="s">
        <v>36</v>
      </c>
    </row>
    <row r="242" spans="1:14">
      <c r="A242" s="1" t="s">
        <v>357</v>
      </c>
      <c r="B242" s="10">
        <v>46090</v>
      </c>
      <c r="C242" s="1" t="s">
        <v>204</v>
      </c>
      <c r="D242" s="1" t="s">
        <v>32</v>
      </c>
      <c r="E242" s="1" t="s">
        <v>33</v>
      </c>
      <c r="F242" s="1" t="s">
        <v>55</v>
      </c>
      <c r="G242" s="1" t="s">
        <v>100</v>
      </c>
      <c r="H242" s="11">
        <v>35</v>
      </c>
      <c r="I242" s="11">
        <v>28</v>
      </c>
      <c r="J242" s="11">
        <v>267</v>
      </c>
      <c r="K242" s="12">
        <v>4.3</v>
      </c>
      <c r="L242" s="13">
        <v>12800</v>
      </c>
      <c r="M242" s="13">
        <v>13100</v>
      </c>
      <c r="N242" s="1" t="s">
        <v>36</v>
      </c>
    </row>
    <row r="243" spans="1:14">
      <c r="A243" s="1" t="s">
        <v>358</v>
      </c>
      <c r="B243" s="10">
        <v>46092</v>
      </c>
      <c r="C243" s="1" t="s">
        <v>92</v>
      </c>
      <c r="D243" s="1" t="s">
        <v>39</v>
      </c>
      <c r="E243" s="1" t="s">
        <v>40</v>
      </c>
      <c r="F243" s="1" t="s">
        <v>64</v>
      </c>
      <c r="G243" s="1" t="s">
        <v>109</v>
      </c>
      <c r="H243" s="11">
        <v>76</v>
      </c>
      <c r="I243" s="11">
        <v>67</v>
      </c>
      <c r="J243" s="11">
        <v>318</v>
      </c>
      <c r="K243" s="12">
        <v>4</v>
      </c>
      <c r="L243" s="13">
        <v>39300</v>
      </c>
      <c r="M243" s="13">
        <v>38100</v>
      </c>
      <c r="N243" s="1" t="s">
        <v>36</v>
      </c>
    </row>
    <row r="244" spans="1:14">
      <c r="A244" s="1" t="s">
        <v>359</v>
      </c>
      <c r="B244" s="10">
        <v>46094</v>
      </c>
      <c r="C244" s="1" t="s">
        <v>43</v>
      </c>
      <c r="D244" s="1" t="s">
        <v>44</v>
      </c>
      <c r="E244" s="1" t="s">
        <v>45</v>
      </c>
      <c r="F244" s="1" t="s">
        <v>51</v>
      </c>
      <c r="G244" s="1" t="s">
        <v>70</v>
      </c>
      <c r="H244" s="11">
        <v>130</v>
      </c>
      <c r="I244" s="11">
        <v>111</v>
      </c>
      <c r="J244" s="11">
        <v>119</v>
      </c>
      <c r="K244" s="12">
        <v>3.8</v>
      </c>
      <c r="L244" s="13">
        <v>52500</v>
      </c>
      <c r="M244" s="13">
        <v>45700</v>
      </c>
      <c r="N244" s="1" t="s">
        <v>36</v>
      </c>
    </row>
    <row r="245" spans="1:14">
      <c r="A245" s="1" t="s">
        <v>360</v>
      </c>
      <c r="B245" s="10">
        <v>46095</v>
      </c>
      <c r="C245" s="1" t="s">
        <v>271</v>
      </c>
      <c r="D245" s="1" t="s">
        <v>32</v>
      </c>
      <c r="E245" s="1" t="s">
        <v>33</v>
      </c>
      <c r="F245" s="1" t="s">
        <v>34</v>
      </c>
      <c r="G245" s="1" t="s">
        <v>46</v>
      </c>
      <c r="H245" s="11">
        <v>36</v>
      </c>
      <c r="I245" s="11">
        <v>30</v>
      </c>
      <c r="J245" s="11">
        <v>201</v>
      </c>
      <c r="K245" s="12">
        <v>4.2</v>
      </c>
      <c r="L245" s="13">
        <v>7600</v>
      </c>
      <c r="M245" s="13">
        <v>7400</v>
      </c>
      <c r="N245" s="1" t="s">
        <v>36</v>
      </c>
    </row>
    <row r="246" spans="1:14">
      <c r="A246" s="1" t="s">
        <v>361</v>
      </c>
      <c r="B246" s="10">
        <v>46098</v>
      </c>
      <c r="C246" s="1" t="s">
        <v>54</v>
      </c>
      <c r="D246" s="1" t="s">
        <v>32</v>
      </c>
      <c r="E246" s="1" t="s">
        <v>40</v>
      </c>
      <c r="F246" s="1" t="s">
        <v>77</v>
      </c>
      <c r="G246" s="1" t="s">
        <v>98</v>
      </c>
      <c r="H246" s="11">
        <v>127</v>
      </c>
      <c r="I246" s="11">
        <v>116</v>
      </c>
      <c r="J246" s="11">
        <v>447</v>
      </c>
      <c r="K246" s="12">
        <v>4.2</v>
      </c>
      <c r="L246" s="13">
        <v>49900</v>
      </c>
      <c r="M246" s="13">
        <v>39900</v>
      </c>
      <c r="N246" s="1" t="s">
        <v>36</v>
      </c>
    </row>
    <row r="247" spans="1:14">
      <c r="A247" s="1" t="s">
        <v>362</v>
      </c>
      <c r="B247" s="10">
        <v>46098</v>
      </c>
      <c r="C247" s="1" t="s">
        <v>133</v>
      </c>
      <c r="D247" s="1" t="s">
        <v>32</v>
      </c>
      <c r="E247" s="1" t="s">
        <v>33</v>
      </c>
      <c r="F247" s="1" t="s">
        <v>86</v>
      </c>
      <c r="G247" s="1" t="s">
        <v>87</v>
      </c>
      <c r="H247" s="11">
        <v>59</v>
      </c>
      <c r="I247" s="11">
        <v>31</v>
      </c>
      <c r="J247" s="11">
        <v>292</v>
      </c>
      <c r="K247" s="12">
        <v>4.7</v>
      </c>
      <c r="L247" s="13">
        <v>13500</v>
      </c>
      <c r="M247" s="13">
        <v>13100</v>
      </c>
      <c r="N247" s="1" t="s">
        <v>36</v>
      </c>
    </row>
    <row r="248" spans="1:14">
      <c r="A248" s="1" t="s">
        <v>363</v>
      </c>
      <c r="B248" s="10">
        <v>46098</v>
      </c>
      <c r="C248" s="1" t="s">
        <v>271</v>
      </c>
      <c r="D248" s="1" t="s">
        <v>32</v>
      </c>
      <c r="E248" s="1" t="s">
        <v>33</v>
      </c>
      <c r="F248" s="1" t="s">
        <v>34</v>
      </c>
      <c r="G248" s="1" t="s">
        <v>41</v>
      </c>
      <c r="H248" s="11">
        <v>26</v>
      </c>
      <c r="I248" s="11">
        <v>21</v>
      </c>
      <c r="J248" s="11">
        <v>221</v>
      </c>
      <c r="K248" s="12">
        <v>4.8</v>
      </c>
      <c r="L248" s="13">
        <v>21300</v>
      </c>
      <c r="M248" s="13">
        <v>23500</v>
      </c>
      <c r="N248" s="1" t="s">
        <v>36</v>
      </c>
    </row>
    <row r="249" spans="1:14">
      <c r="A249" s="1" t="s">
        <v>364</v>
      </c>
      <c r="B249" s="10">
        <v>46100</v>
      </c>
      <c r="C249" s="1" t="s">
        <v>150</v>
      </c>
      <c r="D249" s="1" t="s">
        <v>32</v>
      </c>
      <c r="E249" s="1" t="s">
        <v>33</v>
      </c>
      <c r="F249" s="1" t="s">
        <v>64</v>
      </c>
      <c r="G249" s="1" t="s">
        <v>83</v>
      </c>
      <c r="H249" s="11">
        <v>37</v>
      </c>
      <c r="I249" s="11">
        <v>34</v>
      </c>
      <c r="J249" s="11">
        <v>507</v>
      </c>
      <c r="K249" s="12">
        <v>4.5</v>
      </c>
      <c r="L249" s="13">
        <v>24300</v>
      </c>
      <c r="M249" s="13">
        <v>23400</v>
      </c>
      <c r="N249" s="1" t="s">
        <v>36</v>
      </c>
    </row>
    <row r="250" spans="1:14">
      <c r="A250" s="1" t="s">
        <v>365</v>
      </c>
      <c r="B250" s="10">
        <v>46101</v>
      </c>
      <c r="C250" s="1" t="s">
        <v>145</v>
      </c>
      <c r="D250" s="1" t="s">
        <v>49</v>
      </c>
      <c r="E250" s="1" t="s">
        <v>63</v>
      </c>
      <c r="F250" s="1" t="s">
        <v>55</v>
      </c>
      <c r="G250" s="1" t="s">
        <v>56</v>
      </c>
      <c r="H250" s="11">
        <v>24</v>
      </c>
      <c r="I250" s="11">
        <v>13</v>
      </c>
      <c r="J250" s="11">
        <v>2</v>
      </c>
      <c r="K250" s="12">
        <v>4</v>
      </c>
      <c r="L250" s="13">
        <v>27300</v>
      </c>
      <c r="M250" s="13">
        <v>27800</v>
      </c>
      <c r="N250" s="1" t="s">
        <v>36</v>
      </c>
    </row>
    <row r="251" spans="1:14">
      <c r="A251" s="1" t="s">
        <v>366</v>
      </c>
      <c r="B251" s="10">
        <v>46107</v>
      </c>
      <c r="C251" s="1" t="s">
        <v>115</v>
      </c>
      <c r="D251" s="1" t="s">
        <v>59</v>
      </c>
      <c r="E251" s="1" t="s">
        <v>63</v>
      </c>
      <c r="F251" s="1" t="s">
        <v>34</v>
      </c>
      <c r="G251" s="1" t="s">
        <v>46</v>
      </c>
      <c r="H251" s="11">
        <v>57</v>
      </c>
      <c r="I251" s="11">
        <v>29</v>
      </c>
      <c r="J251" s="11">
        <v>12</v>
      </c>
      <c r="K251" s="12">
        <v>4.3</v>
      </c>
      <c r="L251" s="13">
        <v>32600</v>
      </c>
      <c r="M251" s="13">
        <v>35100</v>
      </c>
      <c r="N251" s="1" t="s">
        <v>36</v>
      </c>
    </row>
    <row r="252" spans="1:14">
      <c r="A252" s="1" t="s">
        <v>367</v>
      </c>
      <c r="B252" s="10">
        <v>46108</v>
      </c>
      <c r="C252" s="1" t="s">
        <v>102</v>
      </c>
      <c r="D252" s="1" t="s">
        <v>49</v>
      </c>
      <c r="E252" s="1" t="s">
        <v>50</v>
      </c>
      <c r="F252" s="1" t="s">
        <v>86</v>
      </c>
      <c r="G252" s="1" t="s">
        <v>93</v>
      </c>
      <c r="H252" s="11">
        <v>30</v>
      </c>
      <c r="I252" s="11">
        <v>11</v>
      </c>
      <c r="J252" s="11">
        <v>4</v>
      </c>
      <c r="K252" s="12">
        <v>3.8</v>
      </c>
      <c r="L252" s="13">
        <v>79700</v>
      </c>
      <c r="M252" s="13">
        <v>54500</v>
      </c>
      <c r="N252" s="1" t="s">
        <v>36</v>
      </c>
    </row>
    <row r="253" spans="1:14">
      <c r="A253" s="1" t="s">
        <v>368</v>
      </c>
      <c r="B253" s="10">
        <v>46114</v>
      </c>
      <c r="C253" s="1" t="s">
        <v>121</v>
      </c>
      <c r="D253" s="1" t="s">
        <v>59</v>
      </c>
      <c r="E253" s="1" t="s">
        <v>63</v>
      </c>
      <c r="F253" s="1" t="s">
        <v>86</v>
      </c>
      <c r="G253" s="1" t="s">
        <v>93</v>
      </c>
      <c r="H253" s="11">
        <v>38</v>
      </c>
      <c r="I253" s="11">
        <v>24</v>
      </c>
      <c r="J253" s="11">
        <v>10</v>
      </c>
      <c r="K253" s="12">
        <v>4.4000000000000004</v>
      </c>
      <c r="L253" s="13">
        <v>28800</v>
      </c>
      <c r="M253" s="13">
        <v>28600</v>
      </c>
      <c r="N253" s="1" t="s">
        <v>36</v>
      </c>
    </row>
    <row r="254" spans="1:14">
      <c r="A254" s="1" t="s">
        <v>369</v>
      </c>
      <c r="B254" s="10">
        <v>46115</v>
      </c>
      <c r="C254" s="1" t="s">
        <v>214</v>
      </c>
      <c r="D254" s="1" t="s">
        <v>44</v>
      </c>
      <c r="E254" s="1" t="s">
        <v>40</v>
      </c>
      <c r="F254" s="1" t="s">
        <v>51</v>
      </c>
      <c r="G254" s="1" t="s">
        <v>137</v>
      </c>
      <c r="H254" s="11">
        <v>97</v>
      </c>
      <c r="I254" s="11">
        <v>84</v>
      </c>
      <c r="J254" s="11">
        <v>98</v>
      </c>
      <c r="K254" s="12">
        <v>4.2</v>
      </c>
      <c r="L254" s="13">
        <v>28500</v>
      </c>
      <c r="M254" s="13">
        <v>25500</v>
      </c>
      <c r="N254" s="1" t="s">
        <v>36</v>
      </c>
    </row>
    <row r="255" spans="1:14">
      <c r="A255" s="1" t="s">
        <v>370</v>
      </c>
      <c r="B255" s="10">
        <v>46118</v>
      </c>
      <c r="C255" s="1" t="s">
        <v>121</v>
      </c>
      <c r="D255" s="1" t="s">
        <v>59</v>
      </c>
      <c r="E255" s="1" t="s">
        <v>63</v>
      </c>
      <c r="F255" s="1" t="s">
        <v>64</v>
      </c>
      <c r="G255" s="1" t="s">
        <v>109</v>
      </c>
      <c r="H255" s="11">
        <v>55</v>
      </c>
      <c r="I255" s="11">
        <v>49</v>
      </c>
      <c r="J255" s="11">
        <v>13</v>
      </c>
      <c r="K255" s="12">
        <v>4.3</v>
      </c>
      <c r="L255" s="13">
        <v>27700</v>
      </c>
      <c r="M255" s="13">
        <v>24900</v>
      </c>
      <c r="N255" s="1" t="s">
        <v>36</v>
      </c>
    </row>
    <row r="256" spans="1:14">
      <c r="A256" s="1" t="s">
        <v>371</v>
      </c>
      <c r="B256" s="10">
        <v>46120</v>
      </c>
      <c r="C256" s="1" t="s">
        <v>92</v>
      </c>
      <c r="D256" s="1" t="s">
        <v>44</v>
      </c>
      <c r="E256" s="1" t="s">
        <v>40</v>
      </c>
      <c r="F256" s="1" t="s">
        <v>34</v>
      </c>
      <c r="G256" s="1" t="s">
        <v>46</v>
      </c>
      <c r="H256" s="11">
        <v>77</v>
      </c>
      <c r="I256" s="11">
        <v>66</v>
      </c>
      <c r="J256" s="11">
        <v>86</v>
      </c>
      <c r="K256" s="12">
        <v>3.8</v>
      </c>
      <c r="L256" s="13">
        <v>60000</v>
      </c>
      <c r="M256" s="13">
        <v>44500</v>
      </c>
      <c r="N256" s="1" t="s">
        <v>36</v>
      </c>
    </row>
    <row r="257" spans="1:14">
      <c r="A257" s="1" t="s">
        <v>372</v>
      </c>
      <c r="B257" s="10">
        <v>46122</v>
      </c>
      <c r="C257" s="1" t="s">
        <v>221</v>
      </c>
      <c r="D257" s="1" t="s">
        <v>39</v>
      </c>
      <c r="E257" s="1" t="s">
        <v>40</v>
      </c>
      <c r="F257" s="1" t="s">
        <v>51</v>
      </c>
      <c r="G257" s="1" t="s">
        <v>52</v>
      </c>
      <c r="H257" s="11">
        <v>128</v>
      </c>
      <c r="I257" s="11">
        <v>103</v>
      </c>
      <c r="J257" s="11">
        <v>187</v>
      </c>
      <c r="K257" s="12">
        <v>3.9</v>
      </c>
      <c r="L257" s="13">
        <v>31000</v>
      </c>
      <c r="M257" s="13">
        <v>34100</v>
      </c>
      <c r="N257" s="1" t="s">
        <v>36</v>
      </c>
    </row>
    <row r="258" spans="1:14">
      <c r="A258" s="1" t="s">
        <v>373</v>
      </c>
      <c r="B258" s="10">
        <v>46122</v>
      </c>
      <c r="C258" s="1" t="s">
        <v>221</v>
      </c>
      <c r="D258" s="1" t="s">
        <v>39</v>
      </c>
      <c r="E258" s="1" t="s">
        <v>40</v>
      </c>
      <c r="F258" s="1" t="s">
        <v>51</v>
      </c>
      <c r="G258" s="1" t="s">
        <v>70</v>
      </c>
      <c r="H258" s="11">
        <v>136</v>
      </c>
      <c r="I258" s="11">
        <v>125</v>
      </c>
      <c r="J258" s="11">
        <v>161</v>
      </c>
      <c r="K258" s="12">
        <v>4</v>
      </c>
      <c r="L258" s="13">
        <v>18300</v>
      </c>
      <c r="M258" s="13">
        <v>15600</v>
      </c>
      <c r="N258" s="1" t="s">
        <v>36</v>
      </c>
    </row>
    <row r="259" spans="1:14">
      <c r="A259" s="1" t="s">
        <v>374</v>
      </c>
      <c r="B259" s="10">
        <v>46123</v>
      </c>
      <c r="C259" s="1" t="s">
        <v>147</v>
      </c>
      <c r="D259" s="1" t="s">
        <v>82</v>
      </c>
      <c r="E259" s="1" t="s">
        <v>60</v>
      </c>
      <c r="F259" s="1" t="s">
        <v>77</v>
      </c>
      <c r="G259" s="1" t="s">
        <v>98</v>
      </c>
      <c r="H259" s="11">
        <v>18</v>
      </c>
      <c r="I259" s="11">
        <v>15</v>
      </c>
      <c r="J259" s="11">
        <v>8</v>
      </c>
      <c r="K259" s="12">
        <v>4.3</v>
      </c>
      <c r="L259" s="13">
        <v>6500</v>
      </c>
      <c r="M259" s="13">
        <v>5400</v>
      </c>
      <c r="N259" s="1" t="s">
        <v>36</v>
      </c>
    </row>
    <row r="260" spans="1:14">
      <c r="A260" s="1" t="s">
        <v>375</v>
      </c>
      <c r="B260" s="10">
        <v>46128</v>
      </c>
      <c r="C260" s="1" t="s">
        <v>92</v>
      </c>
      <c r="D260" s="1" t="s">
        <v>32</v>
      </c>
      <c r="E260" s="1" t="s">
        <v>40</v>
      </c>
      <c r="F260" s="1" t="s">
        <v>51</v>
      </c>
      <c r="G260" s="1" t="s">
        <v>137</v>
      </c>
      <c r="H260" s="11">
        <v>110</v>
      </c>
      <c r="I260" s="11">
        <v>94</v>
      </c>
      <c r="J260" s="11">
        <v>155</v>
      </c>
      <c r="K260" s="12">
        <v>4.3</v>
      </c>
      <c r="L260" s="13">
        <v>24900</v>
      </c>
      <c r="M260" s="13">
        <v>27500</v>
      </c>
      <c r="N260" s="1" t="s">
        <v>36</v>
      </c>
    </row>
    <row r="261" spans="1:14">
      <c r="A261" s="1" t="s">
        <v>376</v>
      </c>
      <c r="B261" s="10">
        <v>46132</v>
      </c>
      <c r="C261" s="1" t="s">
        <v>168</v>
      </c>
      <c r="D261" s="1" t="s">
        <v>82</v>
      </c>
      <c r="E261" s="1" t="s">
        <v>60</v>
      </c>
      <c r="F261" s="1" t="s">
        <v>64</v>
      </c>
      <c r="G261" s="1" t="s">
        <v>65</v>
      </c>
      <c r="H261" s="11">
        <v>35</v>
      </c>
      <c r="I261" s="11">
        <v>28</v>
      </c>
      <c r="J261" s="11">
        <v>9</v>
      </c>
      <c r="K261" s="12">
        <v>4.3</v>
      </c>
      <c r="L261" s="13">
        <v>7100</v>
      </c>
      <c r="M261" s="13">
        <v>6600</v>
      </c>
      <c r="N261" s="1" t="s">
        <v>36</v>
      </c>
    </row>
    <row r="262" spans="1:14">
      <c r="A262" s="1" t="s">
        <v>377</v>
      </c>
      <c r="B262" s="10">
        <v>46132</v>
      </c>
      <c r="C262" s="1" t="s">
        <v>58</v>
      </c>
      <c r="D262" s="1" t="s">
        <v>82</v>
      </c>
      <c r="E262" s="1" t="s">
        <v>60</v>
      </c>
      <c r="F262" s="1" t="s">
        <v>64</v>
      </c>
      <c r="G262" s="1" t="s">
        <v>109</v>
      </c>
      <c r="H262" s="11">
        <v>32</v>
      </c>
      <c r="I262" s="11">
        <v>26</v>
      </c>
      <c r="J262" s="11">
        <v>7</v>
      </c>
      <c r="K262" s="12">
        <v>4.0999999999999996</v>
      </c>
      <c r="L262" s="13">
        <v>6900</v>
      </c>
      <c r="M262" s="13">
        <v>6700</v>
      </c>
      <c r="N262" s="1" t="s">
        <v>36</v>
      </c>
    </row>
    <row r="263" spans="1:14">
      <c r="A263" s="1" t="s">
        <v>378</v>
      </c>
      <c r="B263" s="10">
        <v>46133</v>
      </c>
      <c r="C263" s="1" t="s">
        <v>229</v>
      </c>
      <c r="D263" s="1" t="s">
        <v>59</v>
      </c>
      <c r="E263" s="1" t="s">
        <v>63</v>
      </c>
      <c r="F263" s="1" t="s">
        <v>51</v>
      </c>
      <c r="G263" s="1" t="s">
        <v>70</v>
      </c>
      <c r="H263" s="11">
        <v>56</v>
      </c>
      <c r="I263" s="11">
        <v>51</v>
      </c>
      <c r="J263" s="11">
        <v>2</v>
      </c>
      <c r="K263" s="12">
        <v>4.4000000000000004</v>
      </c>
      <c r="L263" s="13">
        <v>11300</v>
      </c>
      <c r="M263" s="13">
        <v>10800</v>
      </c>
      <c r="N263" s="1" t="s">
        <v>36</v>
      </c>
    </row>
    <row r="264" spans="1:14">
      <c r="A264" s="1" t="s">
        <v>379</v>
      </c>
      <c r="B264" s="10">
        <v>46134</v>
      </c>
      <c r="C264" s="1" t="s">
        <v>147</v>
      </c>
      <c r="D264" s="1" t="s">
        <v>59</v>
      </c>
      <c r="E264" s="1" t="s">
        <v>60</v>
      </c>
      <c r="F264" s="1" t="s">
        <v>51</v>
      </c>
      <c r="G264" s="1" t="s">
        <v>52</v>
      </c>
      <c r="H264" s="11">
        <v>39</v>
      </c>
      <c r="I264" s="11">
        <v>32</v>
      </c>
      <c r="J264" s="11">
        <v>7</v>
      </c>
      <c r="K264" s="12">
        <v>4.4000000000000004</v>
      </c>
      <c r="L264" s="13">
        <v>16400</v>
      </c>
      <c r="M264" s="13">
        <v>13500</v>
      </c>
      <c r="N264" s="1" t="s">
        <v>36</v>
      </c>
    </row>
    <row r="265" spans="1:14">
      <c r="A265" s="1" t="s">
        <v>380</v>
      </c>
      <c r="B265" s="10">
        <v>46136</v>
      </c>
      <c r="C265" s="1" t="s">
        <v>225</v>
      </c>
      <c r="D265" s="1" t="s">
        <v>59</v>
      </c>
      <c r="E265" s="1" t="s">
        <v>60</v>
      </c>
      <c r="F265" s="1" t="s">
        <v>86</v>
      </c>
      <c r="G265" s="1" t="s">
        <v>87</v>
      </c>
      <c r="H265" s="11">
        <v>31</v>
      </c>
      <c r="I265" s="11">
        <v>18</v>
      </c>
      <c r="J265" s="11">
        <v>7</v>
      </c>
      <c r="K265" s="12">
        <v>4.3</v>
      </c>
      <c r="L265" s="13">
        <v>11700</v>
      </c>
      <c r="M265" s="13">
        <v>9900</v>
      </c>
      <c r="N265" s="1" t="s">
        <v>36</v>
      </c>
    </row>
    <row r="266" spans="1:14">
      <c r="A266" s="1" t="s">
        <v>381</v>
      </c>
      <c r="B266" s="10">
        <v>46140</v>
      </c>
      <c r="C266" s="1" t="s">
        <v>102</v>
      </c>
      <c r="D266" s="1" t="s">
        <v>49</v>
      </c>
      <c r="E266" s="1" t="s">
        <v>50</v>
      </c>
      <c r="F266" s="1" t="s">
        <v>51</v>
      </c>
      <c r="G266" s="1" t="s">
        <v>70</v>
      </c>
      <c r="H266" s="11">
        <v>69</v>
      </c>
      <c r="I266" s="11">
        <v>55</v>
      </c>
      <c r="J266" s="11">
        <v>29</v>
      </c>
      <c r="K266" s="12"/>
      <c r="L266" s="13">
        <v>80400</v>
      </c>
      <c r="M266" s="13">
        <v>84600</v>
      </c>
      <c r="N266" s="1" t="s">
        <v>36</v>
      </c>
    </row>
    <row r="267" spans="1:14">
      <c r="A267" s="1" t="s">
        <v>382</v>
      </c>
      <c r="B267" s="10">
        <v>46140</v>
      </c>
      <c r="C267" s="1" t="s">
        <v>54</v>
      </c>
      <c r="D267" s="1" t="s">
        <v>44</v>
      </c>
      <c r="E267" s="1" t="s">
        <v>40</v>
      </c>
      <c r="F267" s="1" t="s">
        <v>34</v>
      </c>
      <c r="G267" s="1" t="s">
        <v>46</v>
      </c>
      <c r="H267" s="11">
        <v>96</v>
      </c>
      <c r="I267" s="11">
        <v>88</v>
      </c>
      <c r="J267" s="11">
        <v>145</v>
      </c>
      <c r="K267" s="12">
        <v>4.2</v>
      </c>
      <c r="L267" s="13">
        <v>51400</v>
      </c>
      <c r="M267" s="13">
        <v>38400</v>
      </c>
      <c r="N267" s="1" t="s">
        <v>36</v>
      </c>
    </row>
    <row r="268" spans="1:14">
      <c r="A268" s="1" t="s">
        <v>383</v>
      </c>
      <c r="B268" s="10">
        <v>46143</v>
      </c>
      <c r="C268" s="1" t="s">
        <v>62</v>
      </c>
      <c r="D268" s="1" t="s">
        <v>39</v>
      </c>
      <c r="E268" s="1" t="s">
        <v>63</v>
      </c>
      <c r="F268" s="1" t="s">
        <v>64</v>
      </c>
      <c r="G268" s="1" t="s">
        <v>83</v>
      </c>
      <c r="H268" s="11">
        <v>29</v>
      </c>
      <c r="I268" s="11">
        <v>25</v>
      </c>
      <c r="J268" s="11">
        <v>7</v>
      </c>
      <c r="K268" s="12">
        <v>4.0999999999999996</v>
      </c>
      <c r="L268" s="13">
        <v>10000</v>
      </c>
      <c r="M268" s="13">
        <v>7800</v>
      </c>
      <c r="N268" s="1" t="s">
        <v>36</v>
      </c>
    </row>
    <row r="269" spans="1:14">
      <c r="A269" s="1" t="s">
        <v>384</v>
      </c>
      <c r="B269" s="10">
        <v>46143</v>
      </c>
      <c r="C269" s="1" t="s">
        <v>97</v>
      </c>
      <c r="D269" s="1" t="s">
        <v>105</v>
      </c>
      <c r="E269" s="1" t="s">
        <v>50</v>
      </c>
      <c r="F269" s="1" t="s">
        <v>77</v>
      </c>
      <c r="G269" s="1" t="s">
        <v>78</v>
      </c>
      <c r="H269" s="11">
        <v>83</v>
      </c>
      <c r="I269" s="11">
        <v>73</v>
      </c>
      <c r="J269" s="11">
        <v>40</v>
      </c>
      <c r="K269" s="12">
        <v>4.5</v>
      </c>
      <c r="L269" s="13">
        <v>78600</v>
      </c>
      <c r="M269" s="13">
        <v>60000</v>
      </c>
      <c r="N269" s="1" t="s">
        <v>36</v>
      </c>
    </row>
    <row r="270" spans="1:14">
      <c r="A270" s="1" t="s">
        <v>385</v>
      </c>
      <c r="B270" s="10">
        <v>46146</v>
      </c>
      <c r="C270" s="1" t="s">
        <v>170</v>
      </c>
      <c r="D270" s="1" t="s">
        <v>59</v>
      </c>
      <c r="E270" s="1" t="s">
        <v>63</v>
      </c>
      <c r="F270" s="1" t="s">
        <v>64</v>
      </c>
      <c r="G270" s="1" t="s">
        <v>83</v>
      </c>
      <c r="H270" s="11">
        <v>35</v>
      </c>
      <c r="I270" s="11">
        <v>29</v>
      </c>
      <c r="J270" s="11">
        <v>6</v>
      </c>
      <c r="K270" s="12">
        <v>4.5</v>
      </c>
      <c r="L270" s="13">
        <v>8100</v>
      </c>
      <c r="M270" s="13">
        <v>5700</v>
      </c>
      <c r="N270" s="1" t="s">
        <v>36</v>
      </c>
    </row>
    <row r="271" spans="1:14">
      <c r="A271" s="1" t="s">
        <v>386</v>
      </c>
      <c r="B271" s="10">
        <v>46147</v>
      </c>
      <c r="C271" s="1" t="s">
        <v>170</v>
      </c>
      <c r="D271" s="1" t="s">
        <v>59</v>
      </c>
      <c r="E271" s="1" t="s">
        <v>63</v>
      </c>
      <c r="F271" s="1" t="s">
        <v>64</v>
      </c>
      <c r="G271" s="1" t="s">
        <v>83</v>
      </c>
      <c r="H271" s="11">
        <v>64</v>
      </c>
      <c r="I271" s="11">
        <v>52</v>
      </c>
      <c r="J271" s="11">
        <v>21</v>
      </c>
      <c r="K271" s="12">
        <v>4.3</v>
      </c>
      <c r="L271" s="13">
        <v>23800</v>
      </c>
      <c r="M271" s="13">
        <v>21800</v>
      </c>
      <c r="N271" s="1" t="s">
        <v>36</v>
      </c>
    </row>
    <row r="272" spans="1:14">
      <c r="A272" s="1" t="s">
        <v>387</v>
      </c>
      <c r="B272" s="10">
        <v>46149</v>
      </c>
      <c r="C272" s="1" t="s">
        <v>159</v>
      </c>
      <c r="D272" s="1" t="s">
        <v>105</v>
      </c>
      <c r="E272" s="1" t="s">
        <v>45</v>
      </c>
      <c r="F272" s="1" t="s">
        <v>55</v>
      </c>
      <c r="G272" s="1" t="s">
        <v>56</v>
      </c>
      <c r="H272" s="11">
        <v>142</v>
      </c>
      <c r="I272" s="11">
        <v>128</v>
      </c>
      <c r="J272" s="11">
        <v>81</v>
      </c>
      <c r="K272" s="12">
        <v>4.0999999999999996</v>
      </c>
      <c r="L272" s="13">
        <v>61400</v>
      </c>
      <c r="M272" s="13">
        <v>47200</v>
      </c>
      <c r="N272" s="1" t="s">
        <v>36</v>
      </c>
    </row>
    <row r="273" spans="1:14">
      <c r="A273" s="1" t="s">
        <v>388</v>
      </c>
      <c r="B273" s="10">
        <v>46149</v>
      </c>
      <c r="C273" s="1" t="s">
        <v>123</v>
      </c>
      <c r="D273" s="1" t="s">
        <v>105</v>
      </c>
      <c r="E273" s="1" t="s">
        <v>45</v>
      </c>
      <c r="F273" s="1" t="s">
        <v>86</v>
      </c>
      <c r="G273" s="1" t="s">
        <v>87</v>
      </c>
      <c r="H273" s="11">
        <v>73</v>
      </c>
      <c r="I273" s="11">
        <v>39</v>
      </c>
      <c r="J273" s="11">
        <v>22</v>
      </c>
      <c r="K273" s="12">
        <v>3.9</v>
      </c>
      <c r="L273" s="13">
        <v>42200</v>
      </c>
      <c r="M273" s="13">
        <v>33600</v>
      </c>
      <c r="N273" s="1" t="s">
        <v>36</v>
      </c>
    </row>
    <row r="274" spans="1:14">
      <c r="A274" s="1" t="s">
        <v>389</v>
      </c>
      <c r="B274" s="10">
        <v>46155</v>
      </c>
      <c r="C274" s="1" t="s">
        <v>31</v>
      </c>
      <c r="D274" s="1" t="s">
        <v>32</v>
      </c>
      <c r="E274" s="1" t="s">
        <v>33</v>
      </c>
      <c r="F274" s="1" t="s">
        <v>64</v>
      </c>
      <c r="G274" s="1" t="s">
        <v>83</v>
      </c>
      <c r="H274" s="11">
        <v>50</v>
      </c>
      <c r="I274" s="11">
        <v>42</v>
      </c>
      <c r="J274" s="11">
        <v>180</v>
      </c>
      <c r="K274" s="12">
        <v>4.8</v>
      </c>
      <c r="L274" s="13">
        <v>16500</v>
      </c>
      <c r="M274" s="13">
        <v>13400</v>
      </c>
      <c r="N274" s="1" t="s">
        <v>36</v>
      </c>
    </row>
    <row r="275" spans="1:14">
      <c r="A275" s="1" t="s">
        <v>390</v>
      </c>
      <c r="B275" s="10">
        <v>46159</v>
      </c>
      <c r="C275" s="1" t="s">
        <v>145</v>
      </c>
      <c r="D275" s="1" t="s">
        <v>59</v>
      </c>
      <c r="E275" s="1" t="s">
        <v>63</v>
      </c>
      <c r="F275" s="1" t="s">
        <v>55</v>
      </c>
      <c r="G275" s="1" t="s">
        <v>100</v>
      </c>
      <c r="H275" s="11">
        <v>35</v>
      </c>
      <c r="I275" s="11">
        <v>28</v>
      </c>
      <c r="J275" s="11">
        <v>13</v>
      </c>
      <c r="K275" s="12">
        <v>4.5999999999999996</v>
      </c>
      <c r="L275" s="13">
        <v>10300</v>
      </c>
      <c r="M275" s="13">
        <v>8800</v>
      </c>
      <c r="N275" s="1" t="s">
        <v>36</v>
      </c>
    </row>
    <row r="276" spans="1:14">
      <c r="A276" s="1" t="s">
        <v>391</v>
      </c>
      <c r="B276" s="10">
        <v>46162</v>
      </c>
      <c r="C276" s="1" t="s">
        <v>118</v>
      </c>
      <c r="D276" s="1" t="s">
        <v>59</v>
      </c>
      <c r="E276" s="1" t="s">
        <v>63</v>
      </c>
      <c r="F276" s="1" t="s">
        <v>77</v>
      </c>
      <c r="G276" s="1" t="s">
        <v>98</v>
      </c>
      <c r="H276" s="11">
        <v>22</v>
      </c>
      <c r="I276" s="11">
        <v>18</v>
      </c>
      <c r="J276" s="11">
        <v>6</v>
      </c>
      <c r="K276" s="12">
        <v>4.4000000000000004</v>
      </c>
      <c r="L276" s="13">
        <v>25300</v>
      </c>
      <c r="M276" s="13">
        <v>28000</v>
      </c>
      <c r="N276" s="1" t="s">
        <v>36</v>
      </c>
    </row>
    <row r="277" spans="1:14">
      <c r="A277" s="1" t="s">
        <v>392</v>
      </c>
      <c r="B277" s="10">
        <v>46163</v>
      </c>
      <c r="C277" s="1" t="s">
        <v>67</v>
      </c>
      <c r="D277" s="1" t="s">
        <v>44</v>
      </c>
      <c r="E277" s="1" t="s">
        <v>40</v>
      </c>
      <c r="F277" s="1" t="s">
        <v>55</v>
      </c>
      <c r="G277" s="1" t="s">
        <v>56</v>
      </c>
      <c r="H277" s="11">
        <v>101</v>
      </c>
      <c r="I277" s="11">
        <v>81</v>
      </c>
      <c r="J277" s="11">
        <v>152</v>
      </c>
      <c r="K277" s="12">
        <v>4</v>
      </c>
      <c r="L277" s="13">
        <v>57300</v>
      </c>
      <c r="M277" s="13">
        <v>53000</v>
      </c>
      <c r="N277" s="1" t="s">
        <v>36</v>
      </c>
    </row>
    <row r="278" spans="1:14">
      <c r="A278" s="1" t="s">
        <v>393</v>
      </c>
      <c r="B278" s="10">
        <v>46164</v>
      </c>
      <c r="C278" s="1" t="s">
        <v>31</v>
      </c>
      <c r="D278" s="1" t="s">
        <v>32</v>
      </c>
      <c r="E278" s="1" t="s">
        <v>33</v>
      </c>
      <c r="F278" s="1" t="s">
        <v>34</v>
      </c>
      <c r="G278" s="1" t="s">
        <v>41</v>
      </c>
      <c r="H278" s="11">
        <v>46</v>
      </c>
      <c r="I278" s="11">
        <v>41</v>
      </c>
      <c r="J278" s="11">
        <v>236</v>
      </c>
      <c r="K278" s="12">
        <v>4.2</v>
      </c>
      <c r="L278" s="13">
        <v>11300</v>
      </c>
      <c r="M278" s="13">
        <v>11300</v>
      </c>
      <c r="N278" s="1" t="s">
        <v>36</v>
      </c>
    </row>
    <row r="279" spans="1:14">
      <c r="A279" s="1" t="s">
        <v>394</v>
      </c>
      <c r="B279" s="10">
        <v>46167</v>
      </c>
      <c r="C279" s="1" t="s">
        <v>54</v>
      </c>
      <c r="D279" s="1" t="s">
        <v>39</v>
      </c>
      <c r="E279" s="1" t="s">
        <v>40</v>
      </c>
      <c r="F279" s="1" t="s">
        <v>77</v>
      </c>
      <c r="G279" s="1" t="s">
        <v>98</v>
      </c>
      <c r="H279" s="11">
        <v>98</v>
      </c>
      <c r="I279" s="11">
        <v>87</v>
      </c>
      <c r="J279" s="11">
        <v>119</v>
      </c>
      <c r="K279" s="12">
        <v>3.7</v>
      </c>
      <c r="L279" s="13">
        <v>62600</v>
      </c>
      <c r="M279" s="13">
        <v>65800</v>
      </c>
      <c r="N279" s="1" t="s">
        <v>36</v>
      </c>
    </row>
    <row r="280" spans="1:14">
      <c r="A280" s="1" t="s">
        <v>395</v>
      </c>
      <c r="B280" s="10">
        <v>46170</v>
      </c>
      <c r="C280" s="1" t="s">
        <v>62</v>
      </c>
      <c r="D280" s="1" t="s">
        <v>59</v>
      </c>
      <c r="E280" s="1" t="s">
        <v>63</v>
      </c>
      <c r="F280" s="1" t="s">
        <v>55</v>
      </c>
      <c r="G280" s="1" t="s">
        <v>56</v>
      </c>
      <c r="H280" s="11">
        <v>30</v>
      </c>
      <c r="I280" s="11">
        <v>27</v>
      </c>
      <c r="J280" s="11">
        <v>2</v>
      </c>
      <c r="K280" s="12"/>
      <c r="L280" s="13">
        <v>26000</v>
      </c>
      <c r="M280" s="13">
        <v>28500</v>
      </c>
      <c r="N280" s="1" t="s">
        <v>36</v>
      </c>
    </row>
    <row r="281" spans="1:14">
      <c r="A281" s="1" t="s">
        <v>396</v>
      </c>
      <c r="B281" s="10">
        <v>46170</v>
      </c>
      <c r="C281" s="1" t="s">
        <v>136</v>
      </c>
      <c r="D281" s="1" t="s">
        <v>39</v>
      </c>
      <c r="E281" s="1" t="s">
        <v>40</v>
      </c>
      <c r="F281" s="1" t="s">
        <v>55</v>
      </c>
      <c r="G281" s="1" t="s">
        <v>89</v>
      </c>
      <c r="H281" s="11">
        <v>101</v>
      </c>
      <c r="I281" s="11">
        <v>86</v>
      </c>
      <c r="J281" s="11">
        <v>132</v>
      </c>
      <c r="K281" s="12">
        <v>3.9</v>
      </c>
      <c r="L281" s="13">
        <v>62000</v>
      </c>
      <c r="M281" s="13">
        <v>42400</v>
      </c>
      <c r="N281" s="1" t="s">
        <v>36</v>
      </c>
    </row>
    <row r="282" spans="1:14">
      <c r="A282" s="1" t="s">
        <v>397</v>
      </c>
      <c r="B282" s="10">
        <v>46171</v>
      </c>
      <c r="C282" s="1" t="s">
        <v>150</v>
      </c>
      <c r="D282" s="1" t="s">
        <v>32</v>
      </c>
      <c r="E282" s="1" t="s">
        <v>33</v>
      </c>
      <c r="F282" s="1" t="s">
        <v>34</v>
      </c>
      <c r="G282" s="1" t="s">
        <v>35</v>
      </c>
      <c r="H282" s="11">
        <v>56</v>
      </c>
      <c r="I282" s="11">
        <v>46</v>
      </c>
      <c r="J282" s="11">
        <v>163</v>
      </c>
      <c r="K282" s="12">
        <v>4.8</v>
      </c>
      <c r="L282" s="13">
        <v>17900</v>
      </c>
      <c r="M282" s="13">
        <v>17800</v>
      </c>
      <c r="N282" s="1" t="s">
        <v>36</v>
      </c>
    </row>
    <row r="283" spans="1:14">
      <c r="A283" s="1" t="s">
        <v>398</v>
      </c>
      <c r="B283" s="10">
        <v>46176</v>
      </c>
      <c r="C283" s="1" t="s">
        <v>95</v>
      </c>
      <c r="D283" s="1" t="s">
        <v>82</v>
      </c>
      <c r="E283" s="1" t="s">
        <v>63</v>
      </c>
      <c r="F283" s="1" t="s">
        <v>34</v>
      </c>
      <c r="G283" s="1" t="s">
        <v>41</v>
      </c>
      <c r="H283" s="11">
        <v>22</v>
      </c>
      <c r="I283" s="11">
        <v>19</v>
      </c>
      <c r="J283" s="11">
        <v>0</v>
      </c>
      <c r="K283" s="12">
        <v>4</v>
      </c>
      <c r="L283" s="13">
        <v>30200</v>
      </c>
      <c r="M283" s="13">
        <v>28200</v>
      </c>
      <c r="N283" s="1" t="s">
        <v>36</v>
      </c>
    </row>
    <row r="284" spans="1:14">
      <c r="A284" s="1" t="s">
        <v>399</v>
      </c>
      <c r="B284" s="10">
        <v>46178</v>
      </c>
      <c r="C284" s="1" t="s">
        <v>115</v>
      </c>
      <c r="D284" s="1" t="s">
        <v>59</v>
      </c>
      <c r="E284" s="1" t="s">
        <v>63</v>
      </c>
      <c r="F284" s="1" t="s">
        <v>77</v>
      </c>
      <c r="G284" s="1" t="s">
        <v>78</v>
      </c>
      <c r="H284" s="11">
        <v>36</v>
      </c>
      <c r="I284" s="11">
        <v>31</v>
      </c>
      <c r="J284" s="11">
        <v>3</v>
      </c>
      <c r="K284" s="12">
        <v>4.4000000000000004</v>
      </c>
      <c r="L284" s="13">
        <v>18800</v>
      </c>
      <c r="M284" s="13">
        <v>17700</v>
      </c>
      <c r="N284" s="1" t="s">
        <v>36</v>
      </c>
    </row>
    <row r="285" spans="1:14">
      <c r="A285" s="1" t="s">
        <v>400</v>
      </c>
      <c r="B285" s="10">
        <v>46182</v>
      </c>
      <c r="C285" s="1" t="s">
        <v>118</v>
      </c>
      <c r="D285" s="1" t="s">
        <v>59</v>
      </c>
      <c r="E285" s="1" t="s">
        <v>63</v>
      </c>
      <c r="F285" s="1" t="s">
        <v>77</v>
      </c>
      <c r="G285" s="1" t="s">
        <v>78</v>
      </c>
      <c r="H285" s="11">
        <v>40</v>
      </c>
      <c r="I285" s="11">
        <v>37</v>
      </c>
      <c r="J285" s="11">
        <v>13</v>
      </c>
      <c r="K285" s="12">
        <v>4.7</v>
      </c>
      <c r="L285" s="13">
        <v>22300</v>
      </c>
      <c r="M285" s="13">
        <v>20900</v>
      </c>
      <c r="N285" s="1" t="s">
        <v>36</v>
      </c>
    </row>
    <row r="286" spans="1:14">
      <c r="A286" s="1" t="s">
        <v>401</v>
      </c>
      <c r="B286" s="10">
        <v>46185</v>
      </c>
      <c r="C286" s="1" t="s">
        <v>67</v>
      </c>
      <c r="D286" s="1" t="s">
        <v>44</v>
      </c>
      <c r="E286" s="1" t="s">
        <v>40</v>
      </c>
      <c r="F286" s="1" t="s">
        <v>51</v>
      </c>
      <c r="G286" s="1" t="s">
        <v>70</v>
      </c>
      <c r="H286" s="11">
        <v>95</v>
      </c>
      <c r="I286" s="11">
        <v>77</v>
      </c>
      <c r="J286" s="11">
        <v>131</v>
      </c>
      <c r="K286" s="12">
        <v>4.0999999999999996</v>
      </c>
      <c r="L286" s="13">
        <v>24400</v>
      </c>
      <c r="M286" s="13">
        <v>21300</v>
      </c>
      <c r="N286" s="1" t="s">
        <v>36</v>
      </c>
    </row>
    <row r="287" spans="1:14">
      <c r="A287" s="1" t="s">
        <v>402</v>
      </c>
      <c r="B287" s="10">
        <v>46188</v>
      </c>
      <c r="C287" s="1" t="s">
        <v>186</v>
      </c>
      <c r="D287" s="1" t="s">
        <v>32</v>
      </c>
      <c r="E287" s="1" t="s">
        <v>33</v>
      </c>
      <c r="F287" s="1" t="s">
        <v>34</v>
      </c>
      <c r="G287" s="1" t="s">
        <v>46</v>
      </c>
      <c r="H287" s="11">
        <v>28</v>
      </c>
      <c r="I287" s="11">
        <v>26</v>
      </c>
      <c r="J287" s="11">
        <v>112</v>
      </c>
      <c r="K287" s="12">
        <v>4.4000000000000004</v>
      </c>
      <c r="L287" s="13">
        <v>21000</v>
      </c>
      <c r="M287" s="13">
        <v>17200</v>
      </c>
      <c r="N287" s="1" t="s">
        <v>36</v>
      </c>
    </row>
    <row r="288" spans="1:14">
      <c r="A288" s="1" t="s">
        <v>403</v>
      </c>
      <c r="B288" s="10">
        <v>46188</v>
      </c>
      <c r="C288" s="1" t="s">
        <v>121</v>
      </c>
      <c r="D288" s="1" t="s">
        <v>49</v>
      </c>
      <c r="E288" s="1" t="s">
        <v>63</v>
      </c>
      <c r="F288" s="1" t="s">
        <v>86</v>
      </c>
      <c r="G288" s="1" t="s">
        <v>93</v>
      </c>
      <c r="H288" s="11">
        <v>43</v>
      </c>
      <c r="I288" s="11">
        <v>16</v>
      </c>
      <c r="J288" s="11">
        <v>7</v>
      </c>
      <c r="K288" s="12">
        <v>4</v>
      </c>
      <c r="L288" s="13">
        <v>11300</v>
      </c>
      <c r="M288" s="13">
        <v>11800</v>
      </c>
      <c r="N288" s="1" t="s">
        <v>36</v>
      </c>
    </row>
    <row r="289" spans="1:14">
      <c r="A289" s="1" t="s">
        <v>404</v>
      </c>
      <c r="B289" s="10">
        <v>46189</v>
      </c>
      <c r="C289" s="1" t="s">
        <v>165</v>
      </c>
      <c r="D289" s="1" t="s">
        <v>49</v>
      </c>
      <c r="E289" s="1" t="s">
        <v>50</v>
      </c>
      <c r="F289" s="1" t="s">
        <v>55</v>
      </c>
      <c r="G289" s="1" t="s">
        <v>100</v>
      </c>
      <c r="H289" s="11">
        <v>48</v>
      </c>
      <c r="I289" s="11">
        <v>29</v>
      </c>
      <c r="J289" s="11">
        <v>16</v>
      </c>
      <c r="K289" s="12">
        <v>4</v>
      </c>
      <c r="L289" s="13">
        <v>42500</v>
      </c>
      <c r="M289" s="13">
        <v>40100</v>
      </c>
      <c r="N289" s="1" t="s">
        <v>36</v>
      </c>
    </row>
    <row r="290" spans="1:14">
      <c r="A290" s="1" t="s">
        <v>405</v>
      </c>
      <c r="B290" s="10">
        <v>46190</v>
      </c>
      <c r="C290" s="1" t="s">
        <v>133</v>
      </c>
      <c r="D290" s="1" t="s">
        <v>32</v>
      </c>
      <c r="E290" s="1" t="s">
        <v>33</v>
      </c>
      <c r="F290" s="1" t="s">
        <v>34</v>
      </c>
      <c r="G290" s="1" t="s">
        <v>41</v>
      </c>
      <c r="H290" s="11">
        <v>18</v>
      </c>
      <c r="I290" s="11">
        <v>16</v>
      </c>
      <c r="J290" s="11">
        <v>58</v>
      </c>
      <c r="K290" s="12">
        <v>4.3</v>
      </c>
      <c r="L290" s="13">
        <v>5500</v>
      </c>
      <c r="M290" s="13">
        <v>4100</v>
      </c>
      <c r="N290" s="1" t="s">
        <v>36</v>
      </c>
    </row>
    <row r="291" spans="1:14">
      <c r="A291" s="1" t="s">
        <v>406</v>
      </c>
      <c r="B291" s="10">
        <v>46191</v>
      </c>
      <c r="C291" s="1" t="s">
        <v>115</v>
      </c>
      <c r="D291" s="1" t="s">
        <v>59</v>
      </c>
      <c r="E291" s="1" t="s">
        <v>63</v>
      </c>
      <c r="F291" s="1" t="s">
        <v>34</v>
      </c>
      <c r="G291" s="1" t="s">
        <v>46</v>
      </c>
      <c r="H291" s="11">
        <v>42</v>
      </c>
      <c r="I291" s="11">
        <v>35</v>
      </c>
      <c r="J291" s="11">
        <v>6</v>
      </c>
      <c r="K291" s="12">
        <v>4.5999999999999996</v>
      </c>
      <c r="L291" s="13">
        <v>21800</v>
      </c>
      <c r="M291" s="13">
        <v>20000</v>
      </c>
      <c r="N291" s="1" t="s">
        <v>36</v>
      </c>
    </row>
    <row r="292" spans="1:14">
      <c r="A292" s="1" t="s">
        <v>407</v>
      </c>
      <c r="B292" s="10">
        <v>46192</v>
      </c>
      <c r="C292" s="1" t="s">
        <v>72</v>
      </c>
      <c r="D292" s="1" t="s">
        <v>49</v>
      </c>
      <c r="E292" s="1" t="s">
        <v>63</v>
      </c>
      <c r="F292" s="1" t="s">
        <v>64</v>
      </c>
      <c r="G292" s="1" t="s">
        <v>109</v>
      </c>
      <c r="H292" s="11">
        <v>44</v>
      </c>
      <c r="I292" s="11">
        <v>26</v>
      </c>
      <c r="J292" s="11">
        <v>2</v>
      </c>
      <c r="K292" s="12">
        <v>3.8</v>
      </c>
      <c r="L292" s="13">
        <v>12600</v>
      </c>
      <c r="M292" s="13">
        <v>9600</v>
      </c>
      <c r="N292" s="1" t="s">
        <v>36</v>
      </c>
    </row>
    <row r="293" spans="1:14">
      <c r="A293" s="1" t="s">
        <v>408</v>
      </c>
      <c r="B293" s="10">
        <v>46192</v>
      </c>
      <c r="C293" s="1" t="s">
        <v>229</v>
      </c>
      <c r="D293" s="1" t="s">
        <v>49</v>
      </c>
      <c r="E293" s="1" t="s">
        <v>63</v>
      </c>
      <c r="F293" s="1" t="s">
        <v>51</v>
      </c>
      <c r="G293" s="1" t="s">
        <v>52</v>
      </c>
      <c r="H293" s="11">
        <v>29</v>
      </c>
      <c r="I293" s="11">
        <v>19</v>
      </c>
      <c r="J293" s="11">
        <v>7</v>
      </c>
      <c r="K293" s="12">
        <v>4.2</v>
      </c>
      <c r="L293" s="13">
        <v>17600</v>
      </c>
      <c r="M293" s="13">
        <v>17500</v>
      </c>
      <c r="N293" s="1" t="s">
        <v>36</v>
      </c>
    </row>
    <row r="294" spans="1:14">
      <c r="A294" s="1" t="s">
        <v>409</v>
      </c>
      <c r="B294" s="10">
        <v>46196</v>
      </c>
      <c r="C294" s="1" t="s">
        <v>123</v>
      </c>
      <c r="D294" s="1" t="s">
        <v>105</v>
      </c>
      <c r="E294" s="1" t="s">
        <v>45</v>
      </c>
      <c r="F294" s="1" t="s">
        <v>55</v>
      </c>
      <c r="G294" s="1" t="s">
        <v>100</v>
      </c>
      <c r="H294" s="11">
        <v>127</v>
      </c>
      <c r="I294" s="11">
        <v>118</v>
      </c>
      <c r="J294" s="11">
        <v>102</v>
      </c>
      <c r="K294" s="12">
        <v>3.8</v>
      </c>
      <c r="L294" s="13">
        <v>56400</v>
      </c>
      <c r="M294" s="13">
        <v>60000</v>
      </c>
      <c r="N294" s="1" t="s">
        <v>36</v>
      </c>
    </row>
    <row r="295" spans="1:14">
      <c r="A295" s="1" t="s">
        <v>410</v>
      </c>
      <c r="B295" s="10">
        <v>46201</v>
      </c>
      <c r="C295" s="1" t="s">
        <v>229</v>
      </c>
      <c r="D295" s="1" t="s">
        <v>82</v>
      </c>
      <c r="E295" s="1" t="s">
        <v>63</v>
      </c>
      <c r="F295" s="1" t="s">
        <v>86</v>
      </c>
      <c r="G295" s="1" t="s">
        <v>87</v>
      </c>
      <c r="H295" s="11">
        <v>57</v>
      </c>
      <c r="I295" s="11">
        <v>32</v>
      </c>
      <c r="J295" s="11">
        <v>5</v>
      </c>
      <c r="K295" s="12">
        <v>3.7</v>
      </c>
      <c r="L295" s="13">
        <v>16500</v>
      </c>
      <c r="M295" s="13">
        <v>17200</v>
      </c>
      <c r="N295" s="1" t="s">
        <v>36</v>
      </c>
    </row>
    <row r="296" spans="1:14">
      <c r="A296" s="1" t="s">
        <v>411</v>
      </c>
      <c r="B296" s="10">
        <v>46202</v>
      </c>
      <c r="C296" s="1" t="s">
        <v>302</v>
      </c>
      <c r="D296" s="1" t="s">
        <v>32</v>
      </c>
      <c r="E296" s="1" t="s">
        <v>33</v>
      </c>
      <c r="F296" s="1" t="s">
        <v>64</v>
      </c>
      <c r="G296" s="1" t="s">
        <v>83</v>
      </c>
      <c r="H296" s="11">
        <v>27</v>
      </c>
      <c r="I296" s="11">
        <v>25</v>
      </c>
      <c r="J296" s="11">
        <v>80</v>
      </c>
      <c r="K296" s="12">
        <v>4.5999999999999996</v>
      </c>
      <c r="L296" s="13">
        <v>19300</v>
      </c>
      <c r="M296" s="13">
        <v>15500</v>
      </c>
      <c r="N296" s="1" t="s">
        <v>36</v>
      </c>
    </row>
    <row r="297" spans="1:14">
      <c r="A297" s="1" t="s">
        <v>412</v>
      </c>
      <c r="B297" s="10">
        <v>46202</v>
      </c>
      <c r="C297" s="1" t="s">
        <v>118</v>
      </c>
      <c r="D297" s="1" t="s">
        <v>59</v>
      </c>
      <c r="E297" s="1" t="s">
        <v>63</v>
      </c>
      <c r="F297" s="1" t="s">
        <v>51</v>
      </c>
      <c r="G297" s="1" t="s">
        <v>52</v>
      </c>
      <c r="H297" s="11">
        <v>34</v>
      </c>
      <c r="I297" s="11">
        <v>30</v>
      </c>
      <c r="J297" s="11">
        <v>9</v>
      </c>
      <c r="K297" s="12">
        <v>4.5999999999999996</v>
      </c>
      <c r="L297" s="13">
        <v>10900</v>
      </c>
      <c r="M297" s="13">
        <v>11400</v>
      </c>
      <c r="N297" s="1" t="s">
        <v>36</v>
      </c>
    </row>
    <row r="298" spans="1:14">
      <c r="A298" s="1" t="s">
        <v>413</v>
      </c>
      <c r="B298" s="10">
        <v>46216</v>
      </c>
      <c r="C298" s="1" t="s">
        <v>229</v>
      </c>
      <c r="D298" s="1" t="s">
        <v>59</v>
      </c>
      <c r="E298" s="1" t="s">
        <v>63</v>
      </c>
      <c r="F298" s="1" t="s">
        <v>77</v>
      </c>
      <c r="G298" s="1" t="s">
        <v>78</v>
      </c>
      <c r="H298" s="11">
        <v>46</v>
      </c>
      <c r="I298" s="11">
        <v>27</v>
      </c>
      <c r="J298" s="11">
        <v>1</v>
      </c>
      <c r="K298" s="12">
        <v>4.5</v>
      </c>
      <c r="L298" s="13">
        <v>22000</v>
      </c>
      <c r="M298" s="13">
        <v>15800</v>
      </c>
      <c r="N298" s="1" t="s">
        <v>36</v>
      </c>
    </row>
    <row r="299" spans="1:14">
      <c r="A299" s="1" t="s">
        <v>414</v>
      </c>
      <c r="B299" s="10">
        <v>46216</v>
      </c>
      <c r="C299" s="1" t="s">
        <v>62</v>
      </c>
      <c r="D299" s="1" t="s">
        <v>59</v>
      </c>
      <c r="E299" s="1" t="s">
        <v>63</v>
      </c>
      <c r="F299" s="1" t="s">
        <v>34</v>
      </c>
      <c r="G299" s="1" t="s">
        <v>46</v>
      </c>
      <c r="H299" s="11">
        <v>53</v>
      </c>
      <c r="I299" s="11">
        <v>26</v>
      </c>
      <c r="J299" s="11">
        <v>6</v>
      </c>
      <c r="K299" s="12">
        <v>4.3</v>
      </c>
      <c r="L299" s="13">
        <v>25100</v>
      </c>
      <c r="M299" s="13">
        <v>22000</v>
      </c>
      <c r="N299" s="1" t="s">
        <v>36</v>
      </c>
    </row>
    <row r="300" spans="1:14">
      <c r="A300" s="1" t="s">
        <v>415</v>
      </c>
      <c r="B300" s="10">
        <v>46216</v>
      </c>
      <c r="C300" s="1" t="s">
        <v>163</v>
      </c>
      <c r="D300" s="1" t="s">
        <v>59</v>
      </c>
      <c r="E300" s="1" t="s">
        <v>60</v>
      </c>
      <c r="F300" s="1" t="s">
        <v>55</v>
      </c>
      <c r="G300" s="1" t="s">
        <v>56</v>
      </c>
      <c r="H300" s="11">
        <v>39</v>
      </c>
      <c r="I300" s="11">
        <v>22</v>
      </c>
      <c r="J300" s="11">
        <v>7</v>
      </c>
      <c r="K300" s="12"/>
      <c r="L300" s="13">
        <v>6200</v>
      </c>
      <c r="M300" s="13">
        <v>6200</v>
      </c>
      <c r="N300" s="1" t="s">
        <v>36</v>
      </c>
    </row>
    <row r="301" spans="1:14">
      <c r="A301" s="1" t="s">
        <v>416</v>
      </c>
      <c r="B301" s="10">
        <v>46218</v>
      </c>
      <c r="C301" s="1" t="s">
        <v>168</v>
      </c>
      <c r="D301" s="1" t="s">
        <v>59</v>
      </c>
      <c r="E301" s="1" t="s">
        <v>60</v>
      </c>
      <c r="F301" s="1" t="s">
        <v>34</v>
      </c>
      <c r="G301" s="1" t="s">
        <v>46</v>
      </c>
      <c r="H301" s="11">
        <v>45</v>
      </c>
      <c r="I301" s="11">
        <v>28</v>
      </c>
      <c r="J301" s="11">
        <v>9</v>
      </c>
      <c r="K301" s="12">
        <v>4.4000000000000004</v>
      </c>
      <c r="L301" s="13">
        <v>13300</v>
      </c>
      <c r="M301" s="13">
        <v>13200</v>
      </c>
      <c r="N301" s="1" t="s">
        <v>36</v>
      </c>
    </row>
    <row r="302" spans="1:14">
      <c r="A302" s="1" t="s">
        <v>417</v>
      </c>
      <c r="B302" s="10">
        <v>46226</v>
      </c>
      <c r="C302" s="1" t="s">
        <v>102</v>
      </c>
      <c r="D302" s="1" t="s">
        <v>49</v>
      </c>
      <c r="E302" s="1" t="s">
        <v>50</v>
      </c>
      <c r="F302" s="1" t="s">
        <v>34</v>
      </c>
      <c r="G302" s="1" t="s">
        <v>41</v>
      </c>
      <c r="H302" s="11">
        <v>38</v>
      </c>
      <c r="I302" s="11">
        <v>12</v>
      </c>
      <c r="J302" s="11">
        <v>5</v>
      </c>
      <c r="K302" s="12">
        <v>3.9</v>
      </c>
      <c r="L302" s="13">
        <v>87800</v>
      </c>
      <c r="M302" s="13">
        <v>95200</v>
      </c>
      <c r="N302" s="1" t="s">
        <v>36</v>
      </c>
    </row>
    <row r="303" spans="1:14">
      <c r="A303" s="1" t="s">
        <v>418</v>
      </c>
      <c r="B303" s="10">
        <v>46227</v>
      </c>
      <c r="C303" s="1" t="s">
        <v>143</v>
      </c>
      <c r="D303" s="1" t="s">
        <v>32</v>
      </c>
      <c r="E303" s="1" t="s">
        <v>33</v>
      </c>
      <c r="F303" s="1" t="s">
        <v>34</v>
      </c>
      <c r="G303" s="1" t="s">
        <v>35</v>
      </c>
      <c r="H303" s="11">
        <v>33</v>
      </c>
      <c r="I303" s="11">
        <v>16</v>
      </c>
      <c r="J303" s="11">
        <v>32</v>
      </c>
      <c r="K303" s="12">
        <v>4.5</v>
      </c>
      <c r="L303" s="13">
        <v>16900</v>
      </c>
      <c r="M303" s="13">
        <v>14200</v>
      </c>
      <c r="N303" s="1" t="s">
        <v>36</v>
      </c>
    </row>
    <row r="304" spans="1:14">
      <c r="A304" s="1" t="s">
        <v>419</v>
      </c>
      <c r="B304" s="10">
        <v>46229</v>
      </c>
      <c r="C304" s="1" t="s">
        <v>204</v>
      </c>
      <c r="D304" s="1" t="s">
        <v>32</v>
      </c>
      <c r="E304" s="1" t="s">
        <v>33</v>
      </c>
      <c r="F304" s="1" t="s">
        <v>77</v>
      </c>
      <c r="G304" s="1" t="s">
        <v>78</v>
      </c>
      <c r="H304" s="11">
        <v>37</v>
      </c>
      <c r="I304" s="11">
        <v>20</v>
      </c>
      <c r="J304" s="11">
        <v>49</v>
      </c>
      <c r="K304" s="12">
        <v>3.9</v>
      </c>
      <c r="L304" s="13">
        <v>10500</v>
      </c>
      <c r="M304" s="13">
        <v>8800</v>
      </c>
      <c r="N304" s="1" t="s">
        <v>36</v>
      </c>
    </row>
    <row r="305" spans="1:14">
      <c r="A305" s="1" t="s">
        <v>420</v>
      </c>
      <c r="B305" s="10">
        <v>46230</v>
      </c>
      <c r="C305" s="1" t="s">
        <v>43</v>
      </c>
      <c r="D305" s="1" t="s">
        <v>44</v>
      </c>
      <c r="E305" s="1" t="s">
        <v>45</v>
      </c>
      <c r="F305" s="1" t="s">
        <v>34</v>
      </c>
      <c r="G305" s="1" t="s">
        <v>46</v>
      </c>
      <c r="H305" s="11">
        <v>57</v>
      </c>
      <c r="I305" s="11">
        <v>33</v>
      </c>
      <c r="J305" s="11">
        <v>14</v>
      </c>
      <c r="K305" s="12">
        <v>4.2</v>
      </c>
      <c r="L305" s="13">
        <v>54100</v>
      </c>
      <c r="M305" s="13">
        <v>39500</v>
      </c>
      <c r="N305" s="1" t="s">
        <v>36</v>
      </c>
    </row>
    <row r="306" spans="1:14">
      <c r="A306" s="1" t="s">
        <v>421</v>
      </c>
      <c r="B306" s="10">
        <v>46232</v>
      </c>
      <c r="C306" s="1" t="s">
        <v>168</v>
      </c>
      <c r="D306" s="1" t="s">
        <v>59</v>
      </c>
      <c r="E306" s="1" t="s">
        <v>60</v>
      </c>
      <c r="F306" s="1" t="s">
        <v>86</v>
      </c>
      <c r="G306" s="1" t="s">
        <v>87</v>
      </c>
      <c r="H306" s="11">
        <v>30</v>
      </c>
      <c r="I306" s="11">
        <v>10</v>
      </c>
      <c r="J306" s="11">
        <v>1</v>
      </c>
      <c r="K306" s="12">
        <v>4</v>
      </c>
      <c r="L306" s="13">
        <v>6200</v>
      </c>
      <c r="M306" s="13">
        <v>6900</v>
      </c>
      <c r="N306" s="1" t="s">
        <v>36</v>
      </c>
    </row>
    <row r="307" spans="1:14">
      <c r="A307" s="1" t="s">
        <v>422</v>
      </c>
      <c r="B307" s="10">
        <v>46234</v>
      </c>
      <c r="C307" s="1" t="s">
        <v>253</v>
      </c>
      <c r="D307" s="1" t="s">
        <v>49</v>
      </c>
      <c r="E307" s="1" t="s">
        <v>50</v>
      </c>
      <c r="F307" s="1" t="s">
        <v>64</v>
      </c>
      <c r="G307" s="1" t="s">
        <v>83</v>
      </c>
      <c r="H307" s="11">
        <v>44</v>
      </c>
      <c r="I307" s="11">
        <v>15</v>
      </c>
      <c r="J307" s="11">
        <v>3</v>
      </c>
      <c r="K307" s="12">
        <v>4.2</v>
      </c>
      <c r="L307" s="13">
        <v>80500</v>
      </c>
      <c r="M307" s="13">
        <v>70600</v>
      </c>
      <c r="N307" s="1" t="s">
        <v>36</v>
      </c>
    </row>
    <row r="308" spans="1:14">
      <c r="A308" s="1" t="s">
        <v>423</v>
      </c>
      <c r="B308" s="10">
        <v>46237</v>
      </c>
      <c r="C308" s="1" t="s">
        <v>54</v>
      </c>
      <c r="D308" s="1" t="s">
        <v>44</v>
      </c>
      <c r="E308" s="1" t="s">
        <v>40</v>
      </c>
      <c r="F308" s="1" t="s">
        <v>64</v>
      </c>
      <c r="G308" s="1" t="s">
        <v>65</v>
      </c>
      <c r="H308" s="11">
        <v>98</v>
      </c>
      <c r="I308" s="11">
        <v>56</v>
      </c>
      <c r="J308" s="11">
        <v>42</v>
      </c>
      <c r="K308" s="12">
        <v>3.9</v>
      </c>
      <c r="L308" s="13">
        <v>62600</v>
      </c>
      <c r="M308" s="13">
        <v>63900</v>
      </c>
      <c r="N308" s="1" t="s">
        <v>36</v>
      </c>
    </row>
    <row r="309" spans="1:14">
      <c r="A309" s="1" t="s">
        <v>424</v>
      </c>
      <c r="B309" s="10">
        <v>46241</v>
      </c>
      <c r="C309" s="1" t="s">
        <v>209</v>
      </c>
      <c r="D309" s="1" t="s">
        <v>105</v>
      </c>
      <c r="E309" s="1" t="s">
        <v>45</v>
      </c>
      <c r="F309" s="1" t="s">
        <v>77</v>
      </c>
      <c r="G309" s="1" t="s">
        <v>98</v>
      </c>
      <c r="H309" s="11">
        <v>104</v>
      </c>
      <c r="I309" s="11">
        <v>56</v>
      </c>
      <c r="J309" s="11">
        <v>14</v>
      </c>
      <c r="K309" s="12">
        <v>3.6</v>
      </c>
      <c r="L309" s="13">
        <v>29400</v>
      </c>
      <c r="M309" s="13">
        <v>27500</v>
      </c>
      <c r="N309" s="1" t="s">
        <v>425</v>
      </c>
    </row>
    <row r="310" spans="1:14">
      <c r="A310" s="1" t="s">
        <v>426</v>
      </c>
      <c r="B310" s="10">
        <v>46244</v>
      </c>
      <c r="C310" s="1" t="s">
        <v>31</v>
      </c>
      <c r="D310" s="1" t="s">
        <v>32</v>
      </c>
      <c r="E310" s="1" t="s">
        <v>33</v>
      </c>
      <c r="F310" s="1" t="s">
        <v>77</v>
      </c>
      <c r="G310" s="1" t="s">
        <v>98</v>
      </c>
      <c r="H310" s="11">
        <v>52</v>
      </c>
      <c r="I310" s="11">
        <v>28</v>
      </c>
      <c r="J310" s="11">
        <v>66</v>
      </c>
      <c r="K310" s="12">
        <v>4</v>
      </c>
      <c r="L310" s="13">
        <v>19300</v>
      </c>
      <c r="M310" s="13">
        <v>16000</v>
      </c>
      <c r="N310" s="1" t="s">
        <v>425</v>
      </c>
    </row>
    <row r="311" spans="1:14">
      <c r="A311" s="1" t="s">
        <v>427</v>
      </c>
      <c r="B311" s="10">
        <v>46244</v>
      </c>
      <c r="C311" s="1" t="s">
        <v>31</v>
      </c>
      <c r="D311" s="1" t="s">
        <v>32</v>
      </c>
      <c r="E311" s="1" t="s">
        <v>33</v>
      </c>
      <c r="F311" s="1" t="s">
        <v>55</v>
      </c>
      <c r="G311" s="1" t="s">
        <v>56</v>
      </c>
      <c r="H311" s="11">
        <v>49</v>
      </c>
      <c r="I311" s="11">
        <v>27</v>
      </c>
      <c r="J311" s="11">
        <v>45</v>
      </c>
      <c r="K311" s="12">
        <v>4.4000000000000004</v>
      </c>
      <c r="L311" s="13">
        <v>14800</v>
      </c>
      <c r="M311" s="13">
        <v>15200</v>
      </c>
      <c r="N311" s="1" t="s">
        <v>36</v>
      </c>
    </row>
    <row r="312" spans="1:14">
      <c r="A312" s="1" t="s">
        <v>428</v>
      </c>
      <c r="B312" s="10">
        <v>46251</v>
      </c>
      <c r="C312" s="1" t="s">
        <v>38</v>
      </c>
      <c r="D312" s="1" t="s">
        <v>44</v>
      </c>
      <c r="E312" s="1" t="s">
        <v>40</v>
      </c>
      <c r="F312" s="1" t="s">
        <v>77</v>
      </c>
      <c r="G312" s="1" t="s">
        <v>98</v>
      </c>
      <c r="H312" s="11">
        <v>88</v>
      </c>
      <c r="I312" s="11">
        <v>49</v>
      </c>
      <c r="J312" s="11">
        <v>38</v>
      </c>
      <c r="K312" s="12">
        <v>3.6</v>
      </c>
      <c r="L312" s="13">
        <v>18000</v>
      </c>
      <c r="M312" s="13">
        <v>18500</v>
      </c>
      <c r="N312" s="1" t="s">
        <v>36</v>
      </c>
    </row>
    <row r="313" spans="1:14">
      <c r="A313" s="1" t="s">
        <v>429</v>
      </c>
      <c r="B313" s="10">
        <v>46255</v>
      </c>
      <c r="C313" s="1" t="s">
        <v>201</v>
      </c>
      <c r="D313" s="1" t="s">
        <v>105</v>
      </c>
      <c r="E313" s="1" t="s">
        <v>45</v>
      </c>
      <c r="F313" s="1" t="s">
        <v>77</v>
      </c>
      <c r="G313" s="1" t="s">
        <v>98</v>
      </c>
      <c r="H313" s="11">
        <v>57</v>
      </c>
      <c r="I313" s="11">
        <v>30</v>
      </c>
      <c r="J313" s="11">
        <v>19</v>
      </c>
      <c r="K313" s="12">
        <v>4.0999999999999996</v>
      </c>
      <c r="L313" s="13">
        <v>77200</v>
      </c>
      <c r="M313" s="13">
        <v>76800</v>
      </c>
      <c r="N313" s="1" t="s">
        <v>36</v>
      </c>
    </row>
    <row r="314" spans="1:14">
      <c r="A314" s="1" t="s">
        <v>430</v>
      </c>
      <c r="B314" s="10">
        <v>46256</v>
      </c>
      <c r="C314" s="1" t="s">
        <v>31</v>
      </c>
      <c r="D314" s="1" t="s">
        <v>32</v>
      </c>
      <c r="E314" s="1" t="s">
        <v>33</v>
      </c>
      <c r="F314" s="1" t="s">
        <v>51</v>
      </c>
      <c r="G314" s="1" t="s">
        <v>70</v>
      </c>
      <c r="H314" s="11">
        <v>33</v>
      </c>
      <c r="I314" s="11">
        <v>19</v>
      </c>
      <c r="J314" s="11">
        <v>38</v>
      </c>
      <c r="K314" s="12">
        <v>4.0999999999999996</v>
      </c>
      <c r="L314" s="13">
        <v>12600</v>
      </c>
      <c r="M314" s="13">
        <v>10200</v>
      </c>
      <c r="N314" s="1" t="s">
        <v>36</v>
      </c>
    </row>
    <row r="315" spans="1:14">
      <c r="A315" s="1" t="s">
        <v>431</v>
      </c>
      <c r="B315" s="10">
        <v>46260</v>
      </c>
      <c r="C315" s="1" t="s">
        <v>80</v>
      </c>
      <c r="D315" s="1" t="s">
        <v>105</v>
      </c>
      <c r="E315" s="1" t="s">
        <v>45</v>
      </c>
      <c r="F315" s="1" t="s">
        <v>86</v>
      </c>
      <c r="G315" s="1" t="s">
        <v>93</v>
      </c>
      <c r="H315" s="11">
        <v>157</v>
      </c>
      <c r="I315" s="11">
        <v>56</v>
      </c>
      <c r="J315" s="11">
        <v>31</v>
      </c>
      <c r="K315" s="12">
        <v>3.9</v>
      </c>
      <c r="L315" s="13">
        <v>69000</v>
      </c>
      <c r="M315" s="13">
        <v>63400</v>
      </c>
      <c r="N315" s="1" t="s">
        <v>36</v>
      </c>
    </row>
    <row r="316" spans="1:14">
      <c r="A316" s="1" t="s">
        <v>432</v>
      </c>
      <c r="B316" s="10">
        <v>46262</v>
      </c>
      <c r="C316" s="1" t="s">
        <v>95</v>
      </c>
      <c r="D316" s="1" t="s">
        <v>49</v>
      </c>
      <c r="E316" s="1" t="s">
        <v>63</v>
      </c>
      <c r="F316" s="1" t="s">
        <v>51</v>
      </c>
      <c r="G316" s="1" t="s">
        <v>52</v>
      </c>
      <c r="H316" s="11">
        <v>38</v>
      </c>
      <c r="I316" s="11">
        <v>10</v>
      </c>
      <c r="J316" s="11">
        <v>1</v>
      </c>
      <c r="K316" s="12">
        <v>3.7</v>
      </c>
      <c r="L316" s="13">
        <v>22600</v>
      </c>
      <c r="M316" s="13">
        <v>22500</v>
      </c>
      <c r="N316" s="1" t="s">
        <v>36</v>
      </c>
    </row>
    <row r="317" spans="1:14">
      <c r="A317" s="1" t="s">
        <v>433</v>
      </c>
      <c r="B317" s="10">
        <v>46262</v>
      </c>
      <c r="C317" s="1" t="s">
        <v>201</v>
      </c>
      <c r="D317" s="1" t="s">
        <v>39</v>
      </c>
      <c r="E317" s="1" t="s">
        <v>45</v>
      </c>
      <c r="F317" s="1" t="s">
        <v>64</v>
      </c>
      <c r="G317" s="1" t="s">
        <v>65</v>
      </c>
      <c r="H317" s="11">
        <v>102</v>
      </c>
      <c r="I317" s="11">
        <v>49</v>
      </c>
      <c r="J317" s="11">
        <v>30</v>
      </c>
      <c r="K317" s="12">
        <v>4</v>
      </c>
      <c r="L317" s="13">
        <v>54700</v>
      </c>
      <c r="M317" s="13">
        <v>46700</v>
      </c>
      <c r="N317" s="1" t="s">
        <v>36</v>
      </c>
    </row>
    <row r="318" spans="1:14">
      <c r="A318" s="1" t="s">
        <v>434</v>
      </c>
      <c r="B318" s="10">
        <v>46266</v>
      </c>
      <c r="C318" s="1" t="s">
        <v>62</v>
      </c>
      <c r="D318" s="1" t="s">
        <v>59</v>
      </c>
      <c r="E318" s="1" t="s">
        <v>63</v>
      </c>
      <c r="F318" s="1" t="s">
        <v>55</v>
      </c>
      <c r="G318" s="1" t="s">
        <v>100</v>
      </c>
      <c r="H318" s="11">
        <v>57</v>
      </c>
      <c r="I318" s="11">
        <v>50</v>
      </c>
      <c r="J318" s="11">
        <v>14</v>
      </c>
      <c r="K318" s="12">
        <v>4.5</v>
      </c>
      <c r="L318" s="13">
        <v>15300</v>
      </c>
      <c r="M318" s="13">
        <v>16000</v>
      </c>
      <c r="N318" s="1" t="s">
        <v>36</v>
      </c>
    </row>
    <row r="319" spans="1:14">
      <c r="A319" s="1" t="s">
        <v>435</v>
      </c>
      <c r="B319" s="10">
        <v>46268</v>
      </c>
      <c r="C319" s="1" t="s">
        <v>136</v>
      </c>
      <c r="D319" s="1" t="s">
        <v>39</v>
      </c>
      <c r="E319" s="1" t="s">
        <v>40</v>
      </c>
      <c r="F319" s="1" t="s">
        <v>34</v>
      </c>
      <c r="G319" s="1" t="s">
        <v>41</v>
      </c>
      <c r="H319" s="11">
        <v>65</v>
      </c>
      <c r="I319" s="11">
        <v>56</v>
      </c>
      <c r="J319" s="11">
        <v>101</v>
      </c>
      <c r="K319" s="12">
        <v>3.9</v>
      </c>
      <c r="L319" s="13">
        <v>22700</v>
      </c>
      <c r="M319" s="13">
        <v>25200</v>
      </c>
      <c r="N319" s="1" t="s">
        <v>425</v>
      </c>
    </row>
    <row r="320" spans="1:14">
      <c r="A320" s="1" t="s">
        <v>436</v>
      </c>
      <c r="B320" s="10">
        <v>46271</v>
      </c>
      <c r="C320" s="1" t="s">
        <v>62</v>
      </c>
      <c r="D320" s="1" t="s">
        <v>59</v>
      </c>
      <c r="E320" s="1" t="s">
        <v>63</v>
      </c>
      <c r="F320" s="1" t="s">
        <v>55</v>
      </c>
      <c r="G320" s="1" t="s">
        <v>89</v>
      </c>
      <c r="H320" s="11">
        <v>47</v>
      </c>
      <c r="I320" s="11">
        <v>42</v>
      </c>
      <c r="J320" s="11">
        <v>12</v>
      </c>
      <c r="K320" s="12">
        <v>4.8</v>
      </c>
      <c r="L320" s="13">
        <v>23600</v>
      </c>
      <c r="M320" s="13">
        <v>24700</v>
      </c>
      <c r="N320" s="1" t="s">
        <v>425</v>
      </c>
    </row>
    <row r="321" spans="1:14">
      <c r="A321" s="1" t="s">
        <v>437</v>
      </c>
      <c r="B321" s="10">
        <v>46272</v>
      </c>
      <c r="C321" s="1" t="s">
        <v>95</v>
      </c>
      <c r="D321" s="1" t="s">
        <v>39</v>
      </c>
      <c r="E321" s="1" t="s">
        <v>63</v>
      </c>
      <c r="F321" s="1" t="s">
        <v>55</v>
      </c>
      <c r="G321" s="1" t="s">
        <v>89</v>
      </c>
      <c r="H321" s="11">
        <v>37</v>
      </c>
      <c r="I321" s="11">
        <v>34</v>
      </c>
      <c r="J321" s="11">
        <v>1</v>
      </c>
      <c r="K321" s="12">
        <v>3.8</v>
      </c>
      <c r="L321" s="13">
        <v>9700</v>
      </c>
      <c r="M321" s="13">
        <v>7600</v>
      </c>
      <c r="N321" s="1" t="s">
        <v>425</v>
      </c>
    </row>
    <row r="322" spans="1:14">
      <c r="A322" s="1" t="s">
        <v>438</v>
      </c>
      <c r="B322" s="10">
        <v>46272</v>
      </c>
      <c r="C322" s="1" t="s">
        <v>102</v>
      </c>
      <c r="D322" s="1" t="s">
        <v>49</v>
      </c>
      <c r="E322" s="1" t="s">
        <v>50</v>
      </c>
      <c r="F322" s="1" t="s">
        <v>55</v>
      </c>
      <c r="G322" s="1" t="s">
        <v>89</v>
      </c>
      <c r="H322" s="11">
        <v>24</v>
      </c>
      <c r="I322" s="11">
        <v>8</v>
      </c>
      <c r="J322" s="11">
        <v>4</v>
      </c>
      <c r="K322" s="12">
        <v>4.5999999999999996</v>
      </c>
      <c r="L322" s="13">
        <v>28500</v>
      </c>
      <c r="M322" s="13">
        <v>25600</v>
      </c>
      <c r="N322" s="1" t="s">
        <v>425</v>
      </c>
    </row>
    <row r="323" spans="1:14">
      <c r="A323" s="1" t="s">
        <v>439</v>
      </c>
      <c r="B323" s="10">
        <v>46274</v>
      </c>
      <c r="C323" s="1" t="s">
        <v>108</v>
      </c>
      <c r="D323" s="1" t="s">
        <v>39</v>
      </c>
      <c r="E323" s="1" t="s">
        <v>45</v>
      </c>
      <c r="F323" s="1" t="s">
        <v>86</v>
      </c>
      <c r="G323" s="1" t="s">
        <v>93</v>
      </c>
      <c r="H323" s="11">
        <v>55</v>
      </c>
      <c r="I323" s="11">
        <v>32</v>
      </c>
      <c r="J323" s="11">
        <v>17</v>
      </c>
      <c r="K323" s="12">
        <v>4.2</v>
      </c>
      <c r="L323" s="13">
        <v>64200</v>
      </c>
      <c r="M323" s="13">
        <v>58700</v>
      </c>
      <c r="N323" s="1" t="s">
        <v>425</v>
      </c>
    </row>
    <row r="324" spans="1:14">
      <c r="A324" s="1" t="s">
        <v>440</v>
      </c>
      <c r="B324" s="10">
        <v>46276</v>
      </c>
      <c r="C324" s="1" t="s">
        <v>302</v>
      </c>
      <c r="D324" s="1" t="s">
        <v>32</v>
      </c>
      <c r="E324" s="1" t="s">
        <v>33</v>
      </c>
      <c r="F324" s="1" t="s">
        <v>51</v>
      </c>
      <c r="G324" s="1" t="s">
        <v>70</v>
      </c>
      <c r="H324" s="11">
        <v>49</v>
      </c>
      <c r="I324" s="11">
        <v>44</v>
      </c>
      <c r="J324" s="11">
        <v>261</v>
      </c>
      <c r="K324" s="12">
        <v>4.5</v>
      </c>
      <c r="L324" s="13">
        <v>14600</v>
      </c>
      <c r="M324" s="13">
        <v>15800</v>
      </c>
      <c r="N324" s="1" t="s">
        <v>425</v>
      </c>
    </row>
    <row r="325" spans="1:14">
      <c r="A325" s="1" t="s">
        <v>441</v>
      </c>
      <c r="B325" s="10">
        <v>46279</v>
      </c>
      <c r="C325" s="1" t="s">
        <v>159</v>
      </c>
      <c r="D325" s="1" t="s">
        <v>44</v>
      </c>
      <c r="E325" s="1" t="s">
        <v>45</v>
      </c>
      <c r="F325" s="1" t="s">
        <v>55</v>
      </c>
      <c r="G325" s="1" t="s">
        <v>89</v>
      </c>
      <c r="H325" s="11">
        <v>66</v>
      </c>
      <c r="I325" s="11">
        <v>60</v>
      </c>
      <c r="J325" s="11">
        <v>67</v>
      </c>
      <c r="K325" s="12">
        <v>4.2</v>
      </c>
      <c r="L325" s="13">
        <v>66600</v>
      </c>
      <c r="M325" s="13">
        <v>54400</v>
      </c>
      <c r="N325" s="1" t="s">
        <v>425</v>
      </c>
    </row>
    <row r="326" spans="1:14">
      <c r="A326" s="1" t="s">
        <v>442</v>
      </c>
      <c r="B326" s="10">
        <v>46280</v>
      </c>
      <c r="C326" s="1" t="s">
        <v>43</v>
      </c>
      <c r="D326" s="1" t="s">
        <v>105</v>
      </c>
      <c r="E326" s="1" t="s">
        <v>45</v>
      </c>
      <c r="F326" s="1" t="s">
        <v>86</v>
      </c>
      <c r="G326" s="1" t="s">
        <v>87</v>
      </c>
      <c r="H326" s="11">
        <v>74</v>
      </c>
      <c r="I326" s="11">
        <v>40</v>
      </c>
      <c r="J326" s="11">
        <v>27</v>
      </c>
      <c r="K326" s="12">
        <v>3.8</v>
      </c>
      <c r="L326" s="13">
        <v>27500</v>
      </c>
      <c r="M326" s="13">
        <v>21600</v>
      </c>
      <c r="N326" s="1" t="s">
        <v>36</v>
      </c>
    </row>
    <row r="327" spans="1:14">
      <c r="A327" s="1" t="s">
        <v>443</v>
      </c>
      <c r="B327" s="10">
        <v>46281</v>
      </c>
      <c r="C327" s="1" t="s">
        <v>58</v>
      </c>
      <c r="D327" s="1" t="s">
        <v>59</v>
      </c>
      <c r="E327" s="1" t="s">
        <v>60</v>
      </c>
      <c r="F327" s="1" t="s">
        <v>51</v>
      </c>
      <c r="G327" s="1" t="s">
        <v>70</v>
      </c>
      <c r="H327" s="11">
        <v>14</v>
      </c>
      <c r="I327" s="11">
        <v>12</v>
      </c>
      <c r="J327" s="11">
        <v>2</v>
      </c>
      <c r="K327" s="12">
        <v>4.5999999999999996</v>
      </c>
      <c r="L327" s="13">
        <v>9300</v>
      </c>
      <c r="M327" s="13">
        <v>7900</v>
      </c>
      <c r="N327" s="1" t="s">
        <v>425</v>
      </c>
    </row>
    <row r="328" spans="1:14">
      <c r="A328" s="1" t="s">
        <v>444</v>
      </c>
      <c r="B328" s="10">
        <v>46281</v>
      </c>
      <c r="C328" s="1" t="s">
        <v>67</v>
      </c>
      <c r="D328" s="1" t="s">
        <v>44</v>
      </c>
      <c r="E328" s="1" t="s">
        <v>40</v>
      </c>
      <c r="F328" s="1" t="s">
        <v>34</v>
      </c>
      <c r="G328" s="1" t="s">
        <v>41</v>
      </c>
      <c r="H328" s="11">
        <v>78</v>
      </c>
      <c r="I328" s="11">
        <v>63</v>
      </c>
      <c r="J328" s="11">
        <v>78</v>
      </c>
      <c r="K328" s="12">
        <v>4</v>
      </c>
      <c r="L328" s="13">
        <v>18000</v>
      </c>
      <c r="M328" s="13">
        <v>15800</v>
      </c>
      <c r="N328" s="1" t="s">
        <v>425</v>
      </c>
    </row>
    <row r="329" spans="1:14">
      <c r="A329" s="1" t="s">
        <v>445</v>
      </c>
      <c r="B329" s="10">
        <v>46284</v>
      </c>
      <c r="C329" s="1" t="s">
        <v>225</v>
      </c>
      <c r="D329" s="1" t="s">
        <v>82</v>
      </c>
      <c r="E329" s="1" t="s">
        <v>60</v>
      </c>
      <c r="F329" s="1" t="s">
        <v>77</v>
      </c>
      <c r="G329" s="1" t="s">
        <v>78</v>
      </c>
      <c r="H329" s="11">
        <v>41</v>
      </c>
      <c r="I329" s="11">
        <v>35</v>
      </c>
      <c r="J329" s="11">
        <v>11</v>
      </c>
      <c r="K329" s="12">
        <v>4.0999999999999996</v>
      </c>
      <c r="L329" s="13">
        <v>12600</v>
      </c>
      <c r="M329" s="13">
        <v>11100</v>
      </c>
      <c r="N329" s="1" t="s">
        <v>425</v>
      </c>
    </row>
    <row r="330" spans="1:14">
      <c r="A330" s="1" t="s">
        <v>446</v>
      </c>
      <c r="B330" s="10">
        <v>46286</v>
      </c>
      <c r="C330" s="1" t="s">
        <v>104</v>
      </c>
      <c r="D330" s="1" t="s">
        <v>39</v>
      </c>
      <c r="E330" s="1" t="s">
        <v>45</v>
      </c>
      <c r="F330" s="1" t="s">
        <v>51</v>
      </c>
      <c r="G330" s="1" t="s">
        <v>137</v>
      </c>
      <c r="H330" s="11">
        <v>162</v>
      </c>
      <c r="I330" s="11">
        <v>132</v>
      </c>
      <c r="J330" s="11">
        <v>62</v>
      </c>
      <c r="K330" s="12">
        <v>4.0999999999999996</v>
      </c>
      <c r="L330" s="13">
        <v>20800</v>
      </c>
      <c r="M330" s="13">
        <v>17700</v>
      </c>
      <c r="N330" s="1" t="s">
        <v>425</v>
      </c>
    </row>
    <row r="331" spans="1:14">
      <c r="A331" s="1" t="s">
        <v>447</v>
      </c>
      <c r="B331" s="10">
        <v>46294</v>
      </c>
      <c r="C331" s="1" t="s">
        <v>201</v>
      </c>
      <c r="D331" s="1" t="s">
        <v>39</v>
      </c>
      <c r="E331" s="1" t="s">
        <v>45</v>
      </c>
      <c r="F331" s="1" t="s">
        <v>86</v>
      </c>
      <c r="G331" s="1" t="s">
        <v>87</v>
      </c>
      <c r="H331" s="11">
        <v>135</v>
      </c>
      <c r="I331" s="11">
        <v>78</v>
      </c>
      <c r="J331" s="11">
        <v>53</v>
      </c>
      <c r="K331" s="12">
        <v>3.7</v>
      </c>
      <c r="L331" s="13">
        <v>47900</v>
      </c>
      <c r="M331" s="13">
        <v>44900</v>
      </c>
      <c r="N331" s="1" t="s">
        <v>36</v>
      </c>
    </row>
    <row r="332" spans="1:14">
      <c r="A332" s="1" t="s">
        <v>448</v>
      </c>
      <c r="B332" s="10">
        <v>46295</v>
      </c>
      <c r="C332" s="1" t="s">
        <v>72</v>
      </c>
      <c r="D332" s="1" t="s">
        <v>59</v>
      </c>
      <c r="E332" s="1" t="s">
        <v>63</v>
      </c>
      <c r="F332" s="1" t="s">
        <v>86</v>
      </c>
      <c r="G332" s="1" t="s">
        <v>93</v>
      </c>
      <c r="H332" s="11">
        <v>56</v>
      </c>
      <c r="I332" s="11">
        <v>31</v>
      </c>
      <c r="J332" s="11">
        <v>4</v>
      </c>
      <c r="K332" s="12">
        <v>4.5999999999999996</v>
      </c>
      <c r="L332" s="13">
        <v>9600</v>
      </c>
      <c r="M332" s="13">
        <v>6700</v>
      </c>
      <c r="N332" s="1" t="s">
        <v>36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669C5-0656-4A55-AAC9-F3844EDA2450}">
  <dimension ref="A1:J49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4.7109375" customWidth="1"/>
    <col min="2" max="2" width="12.7109375" customWidth="1"/>
    <col min="3" max="3" width="22.7109375" customWidth="1"/>
    <col min="4" max="5" width="16.7109375" customWidth="1"/>
    <col min="6" max="6" width="13.7109375" customWidth="1"/>
    <col min="7" max="9" width="15.7109375" customWidth="1"/>
    <col min="10" max="10" width="10.7109375" customWidth="1"/>
  </cols>
  <sheetData>
    <row r="1" spans="1:10" ht="33.75" customHeight="1">
      <c r="A1" s="9" t="s">
        <v>449</v>
      </c>
      <c r="B1" s="9" t="s">
        <v>450</v>
      </c>
      <c r="C1" s="9" t="s">
        <v>451</v>
      </c>
      <c r="D1" s="9" t="s">
        <v>21</v>
      </c>
      <c r="E1" s="9" t="s">
        <v>452</v>
      </c>
      <c r="F1" s="9" t="s">
        <v>453</v>
      </c>
      <c r="G1" s="9" t="s">
        <v>454</v>
      </c>
      <c r="H1" s="9" t="s">
        <v>455</v>
      </c>
      <c r="I1" s="9" t="s">
        <v>456</v>
      </c>
      <c r="J1" s="9" t="s">
        <v>457</v>
      </c>
    </row>
    <row r="2" spans="1:10">
      <c r="A2" s="1" t="s">
        <v>458</v>
      </c>
      <c r="B2" s="10">
        <v>44987</v>
      </c>
      <c r="C2" s="1" t="s">
        <v>459</v>
      </c>
      <c r="D2" s="1" t="s">
        <v>55</v>
      </c>
      <c r="E2" s="1" t="s">
        <v>460</v>
      </c>
      <c r="F2" s="11">
        <v>4</v>
      </c>
      <c r="G2" s="11">
        <v>24</v>
      </c>
      <c r="H2" s="11">
        <v>176</v>
      </c>
      <c r="I2" s="11">
        <v>50</v>
      </c>
      <c r="J2" s="14" t="s">
        <v>461</v>
      </c>
    </row>
    <row r="3" spans="1:10">
      <c r="A3" s="1" t="s">
        <v>462</v>
      </c>
      <c r="B3" s="10">
        <v>45934</v>
      </c>
      <c r="C3" s="1" t="s">
        <v>463</v>
      </c>
      <c r="D3" s="1" t="s">
        <v>86</v>
      </c>
      <c r="E3" s="1" t="s">
        <v>460</v>
      </c>
      <c r="F3" s="11">
        <v>0</v>
      </c>
      <c r="G3" s="11">
        <v>19</v>
      </c>
      <c r="H3" s="11">
        <v>158</v>
      </c>
      <c r="I3" s="11">
        <v>27</v>
      </c>
      <c r="J3" s="14" t="s">
        <v>461</v>
      </c>
    </row>
    <row r="4" spans="1:10">
      <c r="A4" s="1" t="s">
        <v>464</v>
      </c>
      <c r="B4" s="10">
        <v>45952</v>
      </c>
      <c r="C4" s="1" t="s">
        <v>465</v>
      </c>
      <c r="D4" s="1" t="s">
        <v>64</v>
      </c>
      <c r="E4" s="1" t="s">
        <v>460</v>
      </c>
      <c r="F4" s="11">
        <v>2</v>
      </c>
      <c r="G4" s="11">
        <v>9</v>
      </c>
      <c r="H4" s="11">
        <v>46</v>
      </c>
      <c r="I4" s="11">
        <v>42</v>
      </c>
      <c r="J4" s="14" t="s">
        <v>461</v>
      </c>
    </row>
    <row r="5" spans="1:10">
      <c r="A5" s="1" t="s">
        <v>466</v>
      </c>
      <c r="B5" s="10">
        <v>45966</v>
      </c>
      <c r="C5" s="1" t="s">
        <v>467</v>
      </c>
      <c r="D5" s="1" t="s">
        <v>51</v>
      </c>
      <c r="E5" s="1" t="s">
        <v>460</v>
      </c>
      <c r="F5" s="11">
        <v>3</v>
      </c>
      <c r="G5" s="11">
        <v>15</v>
      </c>
      <c r="H5" s="11">
        <v>74</v>
      </c>
      <c r="I5" s="11">
        <v>57</v>
      </c>
      <c r="J5" s="14" t="s">
        <v>461</v>
      </c>
    </row>
    <row r="6" spans="1:10">
      <c r="A6" s="1" t="s">
        <v>468</v>
      </c>
      <c r="B6" s="10">
        <v>45859</v>
      </c>
      <c r="C6" s="1" t="s">
        <v>469</v>
      </c>
      <c r="D6" s="1" t="s">
        <v>34</v>
      </c>
      <c r="E6" s="1" t="s">
        <v>460</v>
      </c>
      <c r="F6" s="11">
        <v>1</v>
      </c>
      <c r="G6" s="11">
        <v>16</v>
      </c>
      <c r="H6" s="11">
        <v>43</v>
      </c>
      <c r="I6" s="11">
        <v>18</v>
      </c>
      <c r="J6" s="14" t="s">
        <v>470</v>
      </c>
    </row>
    <row r="7" spans="1:10">
      <c r="A7" s="1" t="s">
        <v>471</v>
      </c>
      <c r="B7" s="10">
        <v>45992</v>
      </c>
      <c r="C7" s="1" t="s">
        <v>469</v>
      </c>
      <c r="D7" s="1" t="s">
        <v>77</v>
      </c>
      <c r="E7" s="1" t="s">
        <v>460</v>
      </c>
      <c r="F7" s="11">
        <v>1</v>
      </c>
      <c r="G7" s="11">
        <v>13</v>
      </c>
      <c r="H7" s="11">
        <v>36</v>
      </c>
      <c r="I7" s="11">
        <v>21</v>
      </c>
      <c r="J7" s="14" t="s">
        <v>470</v>
      </c>
    </row>
    <row r="8" spans="1:10">
      <c r="A8" s="1" t="s">
        <v>472</v>
      </c>
      <c r="B8" s="10">
        <v>45731</v>
      </c>
      <c r="C8" s="1" t="s">
        <v>459</v>
      </c>
      <c r="D8" s="1" t="s">
        <v>55</v>
      </c>
      <c r="E8" s="1" t="s">
        <v>473</v>
      </c>
      <c r="F8" s="11">
        <v>19</v>
      </c>
      <c r="G8" s="11">
        <v>44</v>
      </c>
      <c r="H8" s="11">
        <v>315</v>
      </c>
      <c r="I8" s="11">
        <v>61</v>
      </c>
      <c r="J8" s="14" t="s">
        <v>461</v>
      </c>
    </row>
    <row r="9" spans="1:10">
      <c r="A9" s="1" t="s">
        <v>474</v>
      </c>
      <c r="B9" s="10">
        <v>45184</v>
      </c>
      <c r="C9" s="1" t="s">
        <v>467</v>
      </c>
      <c r="D9" s="1" t="s">
        <v>55</v>
      </c>
      <c r="E9" s="1" t="s">
        <v>475</v>
      </c>
      <c r="F9" s="11">
        <v>7</v>
      </c>
      <c r="G9" s="11">
        <v>33</v>
      </c>
      <c r="H9" s="11">
        <v>161</v>
      </c>
      <c r="I9" s="11">
        <v>72</v>
      </c>
      <c r="J9" s="14" t="s">
        <v>461</v>
      </c>
    </row>
    <row r="10" spans="1:10">
      <c r="A10" s="1" t="s">
        <v>476</v>
      </c>
      <c r="B10" s="10">
        <v>45973</v>
      </c>
      <c r="C10" s="1" t="s">
        <v>459</v>
      </c>
      <c r="D10" s="1" t="s">
        <v>64</v>
      </c>
      <c r="E10" s="1" t="s">
        <v>460</v>
      </c>
      <c r="F10" s="11">
        <v>3</v>
      </c>
      <c r="G10" s="11">
        <v>5</v>
      </c>
      <c r="H10" s="11">
        <v>31</v>
      </c>
      <c r="I10" s="11">
        <v>22</v>
      </c>
      <c r="J10" s="14" t="s">
        <v>461</v>
      </c>
    </row>
    <row r="11" spans="1:10">
      <c r="A11" s="1" t="s">
        <v>477</v>
      </c>
      <c r="B11" s="10">
        <v>45617</v>
      </c>
      <c r="C11" s="1" t="s">
        <v>469</v>
      </c>
      <c r="D11" s="1" t="s">
        <v>64</v>
      </c>
      <c r="E11" s="1" t="s">
        <v>460</v>
      </c>
      <c r="F11" s="11">
        <v>5</v>
      </c>
      <c r="G11" s="11">
        <v>7</v>
      </c>
      <c r="H11" s="11">
        <v>41</v>
      </c>
      <c r="I11" s="11">
        <v>72</v>
      </c>
      <c r="J11" s="14" t="s">
        <v>461</v>
      </c>
    </row>
    <row r="12" spans="1:10">
      <c r="A12" s="1" t="s">
        <v>478</v>
      </c>
      <c r="B12" s="10">
        <v>45587</v>
      </c>
      <c r="C12" s="1" t="s">
        <v>467</v>
      </c>
      <c r="D12" s="1" t="s">
        <v>34</v>
      </c>
      <c r="E12" s="1" t="s">
        <v>460</v>
      </c>
      <c r="F12" s="11">
        <v>3</v>
      </c>
      <c r="G12" s="11">
        <v>12</v>
      </c>
      <c r="H12" s="11">
        <v>44</v>
      </c>
      <c r="I12" s="11">
        <v>31</v>
      </c>
      <c r="J12" s="14" t="s">
        <v>461</v>
      </c>
    </row>
    <row r="13" spans="1:10">
      <c r="A13" s="1" t="s">
        <v>479</v>
      </c>
      <c r="B13" s="10">
        <v>45807</v>
      </c>
      <c r="C13" s="1" t="s">
        <v>465</v>
      </c>
      <c r="D13" s="1" t="s">
        <v>64</v>
      </c>
      <c r="E13" s="1" t="s">
        <v>475</v>
      </c>
      <c r="F13" s="11">
        <v>5</v>
      </c>
      <c r="G13" s="11">
        <v>20</v>
      </c>
      <c r="H13" s="11">
        <v>138</v>
      </c>
      <c r="I13" s="11">
        <v>34</v>
      </c>
      <c r="J13" s="14" t="s">
        <v>461</v>
      </c>
    </row>
    <row r="14" spans="1:10">
      <c r="A14" s="1" t="s">
        <v>480</v>
      </c>
      <c r="B14" s="10">
        <v>45820</v>
      </c>
      <c r="C14" s="1" t="s">
        <v>481</v>
      </c>
      <c r="D14" s="1" t="s">
        <v>77</v>
      </c>
      <c r="E14" s="1" t="s">
        <v>460</v>
      </c>
      <c r="F14" s="11">
        <v>0</v>
      </c>
      <c r="G14" s="11">
        <v>24</v>
      </c>
      <c r="H14" s="11">
        <v>207</v>
      </c>
      <c r="I14" s="11">
        <v>48</v>
      </c>
      <c r="J14" s="14" t="s">
        <v>461</v>
      </c>
    </row>
    <row r="15" spans="1:10">
      <c r="A15" s="1" t="s">
        <v>482</v>
      </c>
      <c r="B15" s="10">
        <v>45647</v>
      </c>
      <c r="C15" s="1" t="s">
        <v>483</v>
      </c>
      <c r="D15" s="1" t="s">
        <v>64</v>
      </c>
      <c r="E15" s="1" t="s">
        <v>460</v>
      </c>
      <c r="F15" s="11">
        <v>4</v>
      </c>
      <c r="G15" s="11">
        <v>13</v>
      </c>
      <c r="H15" s="11">
        <v>107</v>
      </c>
      <c r="I15" s="11">
        <v>32</v>
      </c>
      <c r="J15" s="14" t="s">
        <v>461</v>
      </c>
    </row>
    <row r="16" spans="1:10">
      <c r="A16" s="1" t="s">
        <v>484</v>
      </c>
      <c r="B16" s="10">
        <v>45000</v>
      </c>
      <c r="C16" s="1" t="s">
        <v>459</v>
      </c>
      <c r="D16" s="1" t="s">
        <v>51</v>
      </c>
      <c r="E16" s="1" t="s">
        <v>460</v>
      </c>
      <c r="F16" s="11">
        <v>1</v>
      </c>
      <c r="G16" s="11">
        <v>16</v>
      </c>
      <c r="H16" s="11">
        <v>32</v>
      </c>
      <c r="I16" s="11">
        <v>32</v>
      </c>
      <c r="J16" s="14" t="s">
        <v>470</v>
      </c>
    </row>
    <row r="17" spans="1:10">
      <c r="A17" s="1" t="s">
        <v>485</v>
      </c>
      <c r="B17" s="10">
        <v>45879</v>
      </c>
      <c r="C17" s="1" t="s">
        <v>481</v>
      </c>
      <c r="D17" s="1" t="s">
        <v>86</v>
      </c>
      <c r="E17" s="1" t="s">
        <v>460</v>
      </c>
      <c r="F17" s="11">
        <v>0</v>
      </c>
      <c r="G17" s="11">
        <v>5</v>
      </c>
      <c r="H17" s="11">
        <v>19</v>
      </c>
      <c r="I17" s="11">
        <v>50</v>
      </c>
      <c r="J17" s="14" t="s">
        <v>461</v>
      </c>
    </row>
    <row r="18" spans="1:10">
      <c r="A18" s="1" t="s">
        <v>486</v>
      </c>
      <c r="B18" s="10">
        <v>45451</v>
      </c>
      <c r="C18" s="1" t="s">
        <v>463</v>
      </c>
      <c r="D18" s="1" t="s">
        <v>51</v>
      </c>
      <c r="E18" s="1" t="s">
        <v>460</v>
      </c>
      <c r="F18" s="11">
        <v>2</v>
      </c>
      <c r="G18" s="11">
        <v>19</v>
      </c>
      <c r="H18" s="11">
        <v>147</v>
      </c>
      <c r="I18" s="11">
        <v>67</v>
      </c>
      <c r="J18" s="14" t="s">
        <v>461</v>
      </c>
    </row>
    <row r="19" spans="1:10">
      <c r="A19" s="1" t="s">
        <v>487</v>
      </c>
      <c r="B19" s="10">
        <v>46035</v>
      </c>
      <c r="C19" s="1" t="s">
        <v>481</v>
      </c>
      <c r="D19" s="1" t="s">
        <v>34</v>
      </c>
      <c r="E19" s="1" t="s">
        <v>460</v>
      </c>
      <c r="F19" s="11">
        <v>3</v>
      </c>
      <c r="G19" s="11">
        <v>12</v>
      </c>
      <c r="H19" s="11">
        <v>68</v>
      </c>
      <c r="I19" s="11">
        <v>20</v>
      </c>
      <c r="J19" s="14" t="s">
        <v>461</v>
      </c>
    </row>
    <row r="20" spans="1:10">
      <c r="A20" s="1" t="s">
        <v>488</v>
      </c>
      <c r="B20" s="10">
        <v>45988</v>
      </c>
      <c r="C20" s="1" t="s">
        <v>459</v>
      </c>
      <c r="D20" s="1" t="s">
        <v>64</v>
      </c>
      <c r="E20" s="1" t="s">
        <v>460</v>
      </c>
      <c r="F20" s="11">
        <v>4</v>
      </c>
      <c r="G20" s="11">
        <v>24</v>
      </c>
      <c r="H20" s="11">
        <v>183</v>
      </c>
      <c r="I20" s="11">
        <v>54</v>
      </c>
      <c r="J20" s="14" t="s">
        <v>461</v>
      </c>
    </row>
    <row r="21" spans="1:10">
      <c r="A21" s="1" t="s">
        <v>489</v>
      </c>
      <c r="B21" s="10">
        <v>45453</v>
      </c>
      <c r="C21" s="1" t="s">
        <v>481</v>
      </c>
      <c r="D21" s="1" t="s">
        <v>64</v>
      </c>
      <c r="E21" s="1" t="s">
        <v>473</v>
      </c>
      <c r="F21" s="11">
        <v>17</v>
      </c>
      <c r="G21" s="11">
        <v>38</v>
      </c>
      <c r="H21" s="11">
        <v>280</v>
      </c>
      <c r="I21" s="11">
        <v>64</v>
      </c>
      <c r="J21" s="14" t="s">
        <v>461</v>
      </c>
    </row>
    <row r="22" spans="1:10">
      <c r="A22" s="1" t="s">
        <v>490</v>
      </c>
      <c r="B22" s="10">
        <v>44967</v>
      </c>
      <c r="C22" s="1" t="s">
        <v>491</v>
      </c>
      <c r="D22" s="1" t="s">
        <v>86</v>
      </c>
      <c r="E22" s="1" t="s">
        <v>473</v>
      </c>
      <c r="F22" s="11">
        <v>20</v>
      </c>
      <c r="G22" s="11">
        <v>32</v>
      </c>
      <c r="H22" s="11">
        <v>112</v>
      </c>
      <c r="I22" s="11">
        <v>20</v>
      </c>
      <c r="J22" s="14" t="s">
        <v>461</v>
      </c>
    </row>
    <row r="23" spans="1:10">
      <c r="A23" s="1" t="s">
        <v>492</v>
      </c>
      <c r="B23" s="10">
        <v>45803</v>
      </c>
      <c r="C23" s="1" t="s">
        <v>481</v>
      </c>
      <c r="D23" s="1" t="s">
        <v>34</v>
      </c>
      <c r="E23" s="1" t="s">
        <v>475</v>
      </c>
      <c r="F23" s="11">
        <v>7</v>
      </c>
      <c r="G23" s="11">
        <v>25</v>
      </c>
      <c r="H23" s="11">
        <v>224</v>
      </c>
      <c r="I23" s="11">
        <v>62</v>
      </c>
      <c r="J23" s="14" t="s">
        <v>461</v>
      </c>
    </row>
    <row r="24" spans="1:10">
      <c r="A24" s="1" t="s">
        <v>493</v>
      </c>
      <c r="B24" s="10">
        <v>45240</v>
      </c>
      <c r="C24" s="1" t="s">
        <v>491</v>
      </c>
      <c r="D24" s="1" t="s">
        <v>34</v>
      </c>
      <c r="E24" s="1" t="s">
        <v>460</v>
      </c>
      <c r="F24" s="11">
        <v>0</v>
      </c>
      <c r="G24" s="11">
        <v>11</v>
      </c>
      <c r="H24" s="11">
        <v>45</v>
      </c>
      <c r="I24" s="11">
        <v>54</v>
      </c>
      <c r="J24" s="14" t="s">
        <v>461</v>
      </c>
    </row>
    <row r="25" spans="1:10">
      <c r="A25" s="1" t="s">
        <v>494</v>
      </c>
      <c r="B25" s="10">
        <v>45390</v>
      </c>
      <c r="C25" s="1" t="s">
        <v>483</v>
      </c>
      <c r="D25" s="1" t="s">
        <v>34</v>
      </c>
      <c r="E25" s="1" t="s">
        <v>460</v>
      </c>
      <c r="F25" s="11">
        <v>5</v>
      </c>
      <c r="G25" s="11">
        <v>17</v>
      </c>
      <c r="H25" s="11">
        <v>28</v>
      </c>
      <c r="I25" s="11">
        <v>11</v>
      </c>
      <c r="J25" s="14" t="s">
        <v>470</v>
      </c>
    </row>
    <row r="26" spans="1:10">
      <c r="A26" s="1" t="s">
        <v>495</v>
      </c>
      <c r="B26" s="10">
        <v>45565</v>
      </c>
      <c r="C26" s="1" t="s">
        <v>491</v>
      </c>
      <c r="D26" s="1" t="s">
        <v>51</v>
      </c>
      <c r="E26" s="1" t="s">
        <v>475</v>
      </c>
      <c r="F26" s="11">
        <v>7</v>
      </c>
      <c r="G26" s="11">
        <v>28</v>
      </c>
      <c r="H26" s="11">
        <v>120</v>
      </c>
      <c r="I26" s="11">
        <v>17</v>
      </c>
      <c r="J26" s="14" t="s">
        <v>461</v>
      </c>
    </row>
    <row r="27" spans="1:10">
      <c r="A27" s="1" t="s">
        <v>496</v>
      </c>
      <c r="B27" s="10">
        <v>45967</v>
      </c>
      <c r="C27" s="1" t="s">
        <v>491</v>
      </c>
      <c r="D27" s="1" t="s">
        <v>34</v>
      </c>
      <c r="E27" s="1" t="s">
        <v>460</v>
      </c>
      <c r="F27" s="11">
        <v>1</v>
      </c>
      <c r="G27" s="11">
        <v>17</v>
      </c>
      <c r="H27" s="11">
        <v>84</v>
      </c>
      <c r="I27" s="11">
        <v>67</v>
      </c>
      <c r="J27" s="14" t="s">
        <v>461</v>
      </c>
    </row>
    <row r="28" spans="1:10">
      <c r="A28" s="1" t="s">
        <v>497</v>
      </c>
      <c r="B28" s="10">
        <v>45407</v>
      </c>
      <c r="C28" s="1" t="s">
        <v>465</v>
      </c>
      <c r="D28" s="1" t="s">
        <v>77</v>
      </c>
      <c r="E28" s="1" t="s">
        <v>460</v>
      </c>
      <c r="F28" s="11">
        <v>5</v>
      </c>
      <c r="G28" s="11">
        <v>8</v>
      </c>
      <c r="H28" s="11">
        <v>38</v>
      </c>
      <c r="I28" s="11">
        <v>27</v>
      </c>
      <c r="J28" s="14" t="s">
        <v>461</v>
      </c>
    </row>
    <row r="29" spans="1:10">
      <c r="A29" s="1" t="s">
        <v>498</v>
      </c>
      <c r="B29" s="10">
        <v>45797</v>
      </c>
      <c r="C29" s="1" t="s">
        <v>491</v>
      </c>
      <c r="D29" s="1" t="s">
        <v>51</v>
      </c>
      <c r="E29" s="1" t="s">
        <v>473</v>
      </c>
      <c r="F29" s="11">
        <v>11</v>
      </c>
      <c r="G29" s="11">
        <v>47</v>
      </c>
      <c r="H29" s="11">
        <v>421</v>
      </c>
      <c r="I29" s="11">
        <v>46</v>
      </c>
      <c r="J29" s="14" t="s">
        <v>461</v>
      </c>
    </row>
    <row r="30" spans="1:10">
      <c r="A30" s="1" t="s">
        <v>499</v>
      </c>
      <c r="B30" s="10">
        <v>44983</v>
      </c>
      <c r="C30" s="1" t="s">
        <v>500</v>
      </c>
      <c r="D30" s="1" t="s">
        <v>55</v>
      </c>
      <c r="E30" s="1" t="s">
        <v>460</v>
      </c>
      <c r="F30" s="11">
        <v>5</v>
      </c>
      <c r="G30" s="11">
        <v>15</v>
      </c>
      <c r="H30" s="11">
        <v>63</v>
      </c>
      <c r="I30" s="11">
        <v>59</v>
      </c>
      <c r="J30" s="14" t="s">
        <v>461</v>
      </c>
    </row>
    <row r="31" spans="1:10">
      <c r="A31" s="1" t="s">
        <v>501</v>
      </c>
      <c r="B31" s="10">
        <v>45197</v>
      </c>
      <c r="C31" s="1" t="s">
        <v>467</v>
      </c>
      <c r="D31" s="1" t="s">
        <v>86</v>
      </c>
      <c r="E31" s="1" t="s">
        <v>460</v>
      </c>
      <c r="F31" s="11">
        <v>3</v>
      </c>
      <c r="G31" s="11">
        <v>21</v>
      </c>
      <c r="H31" s="11">
        <v>108</v>
      </c>
      <c r="I31" s="11">
        <v>23</v>
      </c>
      <c r="J31" s="14" t="s">
        <v>461</v>
      </c>
    </row>
    <row r="32" spans="1:10">
      <c r="A32" s="1" t="s">
        <v>502</v>
      </c>
      <c r="B32" s="10">
        <v>45392</v>
      </c>
      <c r="C32" s="1" t="s">
        <v>459</v>
      </c>
      <c r="D32" s="1" t="s">
        <v>51</v>
      </c>
      <c r="E32" s="1" t="s">
        <v>475</v>
      </c>
      <c r="F32" s="11">
        <v>8</v>
      </c>
      <c r="G32" s="11">
        <v>29</v>
      </c>
      <c r="H32" s="11">
        <v>230</v>
      </c>
      <c r="I32" s="11">
        <v>30</v>
      </c>
      <c r="J32" s="14" t="s">
        <v>461</v>
      </c>
    </row>
    <row r="33" spans="1:10">
      <c r="A33" s="1" t="s">
        <v>503</v>
      </c>
      <c r="B33" s="10">
        <v>45014</v>
      </c>
      <c r="C33" s="1" t="s">
        <v>465</v>
      </c>
      <c r="D33" s="1" t="s">
        <v>55</v>
      </c>
      <c r="E33" s="1" t="s">
        <v>460</v>
      </c>
      <c r="F33" s="11">
        <v>0</v>
      </c>
      <c r="G33" s="11">
        <v>11</v>
      </c>
      <c r="H33" s="11">
        <v>87</v>
      </c>
      <c r="I33" s="11">
        <v>64</v>
      </c>
      <c r="J33" s="14" t="s">
        <v>461</v>
      </c>
    </row>
    <row r="34" spans="1:10">
      <c r="A34" s="1" t="s">
        <v>504</v>
      </c>
      <c r="B34" s="10">
        <v>45206</v>
      </c>
      <c r="C34" s="1" t="s">
        <v>481</v>
      </c>
      <c r="D34" s="1" t="s">
        <v>55</v>
      </c>
      <c r="E34" s="1" t="s">
        <v>475</v>
      </c>
      <c r="F34" s="11">
        <v>12</v>
      </c>
      <c r="G34" s="11">
        <v>34</v>
      </c>
      <c r="H34" s="11">
        <v>280</v>
      </c>
      <c r="I34" s="11">
        <v>20</v>
      </c>
      <c r="J34" s="14" t="s">
        <v>461</v>
      </c>
    </row>
    <row r="35" spans="1:10">
      <c r="A35" s="1" t="s">
        <v>505</v>
      </c>
      <c r="B35" s="10">
        <v>45311</v>
      </c>
      <c r="C35" s="1" t="s">
        <v>483</v>
      </c>
      <c r="D35" s="1" t="s">
        <v>34</v>
      </c>
      <c r="E35" s="1" t="s">
        <v>460</v>
      </c>
      <c r="F35" s="11">
        <v>4</v>
      </c>
      <c r="G35" s="11">
        <v>17</v>
      </c>
      <c r="H35" s="11">
        <v>148</v>
      </c>
      <c r="I35" s="11">
        <v>46</v>
      </c>
      <c r="J35" s="14" t="s">
        <v>461</v>
      </c>
    </row>
    <row r="36" spans="1:10">
      <c r="A36" s="1" t="s">
        <v>506</v>
      </c>
      <c r="B36" s="10">
        <v>45668</v>
      </c>
      <c r="C36" s="1" t="s">
        <v>491</v>
      </c>
      <c r="D36" s="1" t="s">
        <v>64</v>
      </c>
      <c r="E36" s="1" t="s">
        <v>460</v>
      </c>
      <c r="F36" s="11">
        <v>2</v>
      </c>
      <c r="G36" s="11">
        <v>18</v>
      </c>
      <c r="H36" s="11">
        <v>103</v>
      </c>
      <c r="I36" s="11">
        <v>9</v>
      </c>
      <c r="J36" s="14" t="s">
        <v>461</v>
      </c>
    </row>
    <row r="37" spans="1:10">
      <c r="A37" s="1" t="s">
        <v>507</v>
      </c>
      <c r="B37" s="10">
        <v>45041</v>
      </c>
      <c r="C37" s="1" t="s">
        <v>491</v>
      </c>
      <c r="D37" s="1" t="s">
        <v>64</v>
      </c>
      <c r="E37" s="1" t="s">
        <v>475</v>
      </c>
      <c r="F37" s="11">
        <v>9</v>
      </c>
      <c r="G37" s="11">
        <v>19</v>
      </c>
      <c r="H37" s="11">
        <v>133</v>
      </c>
      <c r="I37" s="11">
        <v>18</v>
      </c>
      <c r="J37" s="14" t="s">
        <v>461</v>
      </c>
    </row>
    <row r="38" spans="1:10">
      <c r="A38" s="1" t="s">
        <v>508</v>
      </c>
      <c r="B38" s="10">
        <v>45496</v>
      </c>
      <c r="C38" s="1" t="s">
        <v>500</v>
      </c>
      <c r="D38" s="1" t="s">
        <v>77</v>
      </c>
      <c r="E38" s="1" t="s">
        <v>475</v>
      </c>
      <c r="F38" s="11">
        <v>4</v>
      </c>
      <c r="G38" s="11">
        <v>31</v>
      </c>
      <c r="H38" s="11">
        <v>209</v>
      </c>
      <c r="I38" s="11">
        <v>59</v>
      </c>
      <c r="J38" s="14" t="s">
        <v>461</v>
      </c>
    </row>
    <row r="39" spans="1:10">
      <c r="A39" s="1" t="s">
        <v>509</v>
      </c>
      <c r="B39" s="10">
        <v>45488</v>
      </c>
      <c r="C39" s="1" t="s">
        <v>463</v>
      </c>
      <c r="D39" s="1" t="s">
        <v>77</v>
      </c>
      <c r="E39" s="1" t="s">
        <v>460</v>
      </c>
      <c r="F39" s="11">
        <v>5</v>
      </c>
      <c r="G39" s="11">
        <v>13</v>
      </c>
      <c r="H39" s="11">
        <v>52</v>
      </c>
      <c r="I39" s="11">
        <v>67</v>
      </c>
      <c r="J39" s="14" t="s">
        <v>461</v>
      </c>
    </row>
    <row r="40" spans="1:10">
      <c r="A40" s="1" t="s">
        <v>510</v>
      </c>
      <c r="B40" s="10">
        <v>45409</v>
      </c>
      <c r="C40" s="1" t="s">
        <v>465</v>
      </c>
      <c r="D40" s="1" t="s">
        <v>77</v>
      </c>
      <c r="E40" s="1" t="s">
        <v>460</v>
      </c>
      <c r="F40" s="11">
        <v>1</v>
      </c>
      <c r="G40" s="11">
        <v>7</v>
      </c>
      <c r="H40" s="11">
        <v>50</v>
      </c>
      <c r="I40" s="11">
        <v>70</v>
      </c>
      <c r="J40" s="14" t="s">
        <v>461</v>
      </c>
    </row>
    <row r="41" spans="1:10">
      <c r="A41" s="1" t="s">
        <v>511</v>
      </c>
      <c r="B41" s="10">
        <v>46084</v>
      </c>
      <c r="C41" s="1" t="s">
        <v>500</v>
      </c>
      <c r="D41" s="1" t="s">
        <v>34</v>
      </c>
      <c r="E41" s="1" t="s">
        <v>460</v>
      </c>
      <c r="F41" s="11">
        <v>3</v>
      </c>
      <c r="G41" s="11">
        <v>13</v>
      </c>
      <c r="H41" s="11">
        <v>85</v>
      </c>
      <c r="I41" s="11">
        <v>72</v>
      </c>
      <c r="J41" s="14" t="s">
        <v>461</v>
      </c>
    </row>
    <row r="42" spans="1:10">
      <c r="A42" s="1" t="s">
        <v>512</v>
      </c>
      <c r="B42" s="10">
        <v>45560</v>
      </c>
      <c r="C42" s="1" t="s">
        <v>469</v>
      </c>
      <c r="D42" s="1" t="s">
        <v>34</v>
      </c>
      <c r="E42" s="1" t="s">
        <v>460</v>
      </c>
      <c r="F42" s="11">
        <v>4</v>
      </c>
      <c r="G42" s="11">
        <v>13</v>
      </c>
      <c r="H42" s="11">
        <v>51</v>
      </c>
      <c r="I42" s="11">
        <v>57</v>
      </c>
      <c r="J42" s="14" t="s">
        <v>461</v>
      </c>
    </row>
    <row r="43" spans="1:10">
      <c r="A43" s="1" t="s">
        <v>513</v>
      </c>
      <c r="B43" s="10">
        <v>44949</v>
      </c>
      <c r="C43" s="1" t="s">
        <v>469</v>
      </c>
      <c r="D43" s="1" t="s">
        <v>55</v>
      </c>
      <c r="E43" s="1" t="s">
        <v>475</v>
      </c>
      <c r="F43" s="11">
        <v>5</v>
      </c>
      <c r="G43" s="11">
        <v>33</v>
      </c>
      <c r="H43" s="11">
        <v>277</v>
      </c>
      <c r="I43" s="11">
        <v>68</v>
      </c>
      <c r="J43" s="14" t="s">
        <v>461</v>
      </c>
    </row>
    <row r="44" spans="1:10">
      <c r="A44" s="1" t="s">
        <v>514</v>
      </c>
      <c r="B44" s="10">
        <v>45885</v>
      </c>
      <c r="C44" s="1" t="s">
        <v>483</v>
      </c>
      <c r="D44" s="1" t="s">
        <v>34</v>
      </c>
      <c r="E44" s="1" t="s">
        <v>460</v>
      </c>
      <c r="F44" s="11">
        <v>2</v>
      </c>
      <c r="G44" s="11">
        <v>24</v>
      </c>
      <c r="H44" s="11">
        <v>65</v>
      </c>
      <c r="I44" s="11">
        <v>13</v>
      </c>
      <c r="J44" s="14" t="s">
        <v>470</v>
      </c>
    </row>
    <row r="45" spans="1:10">
      <c r="A45" s="1" t="s">
        <v>515</v>
      </c>
      <c r="B45" s="10">
        <v>45197</v>
      </c>
      <c r="C45" s="1" t="s">
        <v>500</v>
      </c>
      <c r="D45" s="1" t="s">
        <v>55</v>
      </c>
      <c r="E45" s="1" t="s">
        <v>473</v>
      </c>
      <c r="F45" s="11">
        <v>21</v>
      </c>
      <c r="G45" s="11">
        <v>47</v>
      </c>
      <c r="H45" s="11">
        <v>267</v>
      </c>
      <c r="I45" s="11">
        <v>24</v>
      </c>
      <c r="J45" s="14" t="s">
        <v>461</v>
      </c>
    </row>
    <row r="46" spans="1:10">
      <c r="A46" s="1" t="s">
        <v>516</v>
      </c>
      <c r="B46" s="10">
        <v>45725</v>
      </c>
      <c r="C46" s="1" t="s">
        <v>469</v>
      </c>
      <c r="D46" s="1" t="s">
        <v>34</v>
      </c>
      <c r="E46" s="1" t="s">
        <v>460</v>
      </c>
      <c r="F46" s="11">
        <v>4</v>
      </c>
      <c r="G46" s="11">
        <v>8</v>
      </c>
      <c r="H46" s="11">
        <v>47</v>
      </c>
      <c r="I46" s="11">
        <v>34</v>
      </c>
      <c r="J46" s="14" t="s">
        <v>461</v>
      </c>
    </row>
    <row r="47" spans="1:10">
      <c r="A47" s="1" t="s">
        <v>517</v>
      </c>
      <c r="B47" s="10">
        <v>45247</v>
      </c>
      <c r="C47" s="1" t="s">
        <v>500</v>
      </c>
      <c r="D47" s="1" t="s">
        <v>34</v>
      </c>
      <c r="E47" s="1" t="s">
        <v>460</v>
      </c>
      <c r="F47" s="11">
        <v>5</v>
      </c>
      <c r="G47" s="11">
        <v>21</v>
      </c>
      <c r="H47" s="11">
        <v>74</v>
      </c>
      <c r="I47" s="11">
        <v>13</v>
      </c>
      <c r="J47" s="14" t="s">
        <v>461</v>
      </c>
    </row>
    <row r="48" spans="1:10">
      <c r="A48" s="1" t="s">
        <v>518</v>
      </c>
      <c r="B48" s="10">
        <v>45174</v>
      </c>
      <c r="C48" s="1" t="s">
        <v>481</v>
      </c>
      <c r="D48" s="1" t="s">
        <v>64</v>
      </c>
      <c r="E48" s="1" t="s">
        <v>460</v>
      </c>
      <c r="F48" s="11">
        <v>1</v>
      </c>
      <c r="G48" s="11">
        <v>24</v>
      </c>
      <c r="H48" s="11">
        <v>95</v>
      </c>
      <c r="I48" s="11">
        <v>64</v>
      </c>
      <c r="J48" s="14" t="s">
        <v>461</v>
      </c>
    </row>
    <row r="49" spans="1:10">
      <c r="A49" s="1" t="s">
        <v>519</v>
      </c>
      <c r="B49" s="10">
        <v>44945</v>
      </c>
      <c r="C49" s="1" t="s">
        <v>500</v>
      </c>
      <c r="D49" s="1" t="s">
        <v>55</v>
      </c>
      <c r="E49" s="1" t="s">
        <v>473</v>
      </c>
      <c r="F49" s="11">
        <v>20</v>
      </c>
      <c r="G49" s="11">
        <v>27</v>
      </c>
      <c r="H49" s="11">
        <v>146</v>
      </c>
      <c r="I49" s="11">
        <v>11</v>
      </c>
      <c r="J49" s="14" t="s">
        <v>461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39FC3-96E7-469E-B015-D08E7C05B79A}">
  <dimension ref="A1:I2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3.7109375" customWidth="1"/>
    <col min="2" max="2" width="14.7109375" customWidth="1"/>
    <col min="3" max="3" width="13.7109375" customWidth="1"/>
    <col min="4" max="5" width="14.7109375" customWidth="1"/>
    <col min="6" max="7" width="13.7109375" customWidth="1"/>
    <col min="8" max="8" width="15.7109375" customWidth="1"/>
    <col min="9" max="9" width="13.7109375" customWidth="1"/>
  </cols>
  <sheetData>
    <row r="1" spans="1:9" ht="33.75" customHeight="1">
      <c r="A1" s="9" t="s">
        <v>520</v>
      </c>
      <c r="B1" s="9" t="s">
        <v>521</v>
      </c>
      <c r="C1" s="9" t="s">
        <v>522</v>
      </c>
      <c r="D1" s="9" t="s">
        <v>523</v>
      </c>
      <c r="E1" s="9" t="s">
        <v>524</v>
      </c>
      <c r="F1" s="9" t="s">
        <v>25</v>
      </c>
      <c r="G1" s="9" t="s">
        <v>525</v>
      </c>
      <c r="H1" s="9" t="s">
        <v>526</v>
      </c>
      <c r="I1" s="9" t="s">
        <v>527</v>
      </c>
    </row>
    <row r="2" spans="1:9">
      <c r="A2" s="15">
        <v>45566</v>
      </c>
      <c r="B2" s="11">
        <f>COUNTIFS(Initiatives!$B:$B,"&gt;="&amp;$A2,Initiatives!$B:$B,"&lt;="&amp;EOMONTH($A2,0),Initiatives!$N:$N,"&lt;&gt;Cancelled")</f>
        <v>15</v>
      </c>
      <c r="C2" s="11">
        <v>14</v>
      </c>
      <c r="D2" s="11">
        <f>SUMIFS(Initiatives!$I:$I,Initiatives!$B:$B,"&gt;="&amp;$A2,Initiatives!$B:$B,"&lt;="&amp;EOMONTH($A2,0),Initiatives!$N:$N,"&lt;&gt;Cancelled")</f>
        <v>865</v>
      </c>
      <c r="E2" s="11">
        <v>625</v>
      </c>
      <c r="F2" s="11">
        <f>SUMIFS(Initiatives!$J:$J,Initiatives!$B:$B,"&gt;="&amp;$A2,Initiatives!$B:$B,"&lt;="&amp;EOMONTH($A2,0),Initiatives!$N:$N,"&lt;&gt;Cancelled")</f>
        <v>1040</v>
      </c>
      <c r="G2" s="16">
        <f>ROUND(AVERAGEIFS(Initiatives!$K:$K,Initiatives!$B:$B,"&gt;="&amp;$A2,Initiatives!$B:$B,"&lt;="&amp;EOMONTH($A2,0)),2)</f>
        <v>3.99</v>
      </c>
      <c r="H2" s="17">
        <f>ROUND(SUMIFS(Initiatives!$M:$M,Initiatives!$B:$B,"&gt;="&amp;$A2,Initiatives!$B:$B,"&lt;="&amp;EOMONTH($A2,0))/SUMIFS(Initiatives!$L:$L,Initiatives!$B:$B,"&gt;="&amp;$A2,Initiatives!$B:$B,"&lt;="&amp;EOMONTH($A2,0)),4)</f>
        <v>0.86140000000000005</v>
      </c>
      <c r="I2" s="11">
        <v>47500</v>
      </c>
    </row>
    <row r="3" spans="1:9">
      <c r="A3" s="15">
        <v>45597</v>
      </c>
      <c r="B3" s="11">
        <f>COUNTIFS(Initiatives!$B:$B,"&gt;="&amp;$A3,Initiatives!$B:$B,"&lt;="&amp;EOMONTH($A3,0),Initiatives!$N:$N,"&lt;&gt;Cancelled")</f>
        <v>15</v>
      </c>
      <c r="C3" s="11">
        <v>15</v>
      </c>
      <c r="D3" s="11">
        <f>SUMIFS(Initiatives!$I:$I,Initiatives!$B:$B,"&gt;="&amp;$A3,Initiatives!$B:$B,"&lt;="&amp;EOMONTH($A3,0),Initiatives!$N:$N,"&lt;&gt;Cancelled")</f>
        <v>849</v>
      </c>
      <c r="E3" s="11">
        <v>604</v>
      </c>
      <c r="F3" s="11">
        <f>SUMIFS(Initiatives!$J:$J,Initiatives!$B:$B,"&gt;="&amp;$A3,Initiatives!$B:$B,"&lt;="&amp;EOMONTH($A3,0),Initiatives!$N:$N,"&lt;&gt;Cancelled")</f>
        <v>776</v>
      </c>
      <c r="G3" s="16">
        <f>ROUND(AVERAGEIFS(Initiatives!$K:$K,Initiatives!$B:$B,"&gt;="&amp;$A3,Initiatives!$B:$B,"&lt;="&amp;EOMONTH($A3,0)),2)</f>
        <v>4.04</v>
      </c>
      <c r="H3" s="17">
        <f>ROUND(SUMIFS(Initiatives!$M:$M,Initiatives!$B:$B,"&gt;="&amp;$A3,Initiatives!$B:$B,"&lt;="&amp;EOMONTH($A3,0))/SUMIFS(Initiatives!$L:$L,Initiatives!$B:$B,"&gt;="&amp;$A3,Initiatives!$B:$B,"&lt;="&amp;EOMONTH($A3,0)),4)</f>
        <v>0.84640000000000004</v>
      </c>
      <c r="I3" s="11">
        <v>76800</v>
      </c>
    </row>
    <row r="4" spans="1:9">
      <c r="A4" s="15">
        <v>45627</v>
      </c>
      <c r="B4" s="11">
        <f>COUNTIFS(Initiatives!$B:$B,"&gt;="&amp;$A4,Initiatives!$B:$B,"&lt;="&amp;EOMONTH($A4,0),Initiatives!$N:$N,"&lt;&gt;Cancelled")</f>
        <v>15</v>
      </c>
      <c r="C4" s="11">
        <v>16</v>
      </c>
      <c r="D4" s="11">
        <f>SUMIFS(Initiatives!$I:$I,Initiatives!$B:$B,"&gt;="&amp;$A4,Initiatives!$B:$B,"&lt;="&amp;EOMONTH($A4,0),Initiatives!$N:$N,"&lt;&gt;Cancelled")</f>
        <v>968</v>
      </c>
      <c r="E4" s="11">
        <v>702</v>
      </c>
      <c r="F4" s="11">
        <f>SUMIFS(Initiatives!$J:$J,Initiatives!$B:$B,"&gt;="&amp;$A4,Initiatives!$B:$B,"&lt;="&amp;EOMONTH($A4,0),Initiatives!$N:$N,"&lt;&gt;Cancelled")</f>
        <v>1001</v>
      </c>
      <c r="G4" s="16">
        <f>ROUND(AVERAGEIFS(Initiatives!$K:$K,Initiatives!$B:$B,"&gt;="&amp;$A4,Initiatives!$B:$B,"&lt;="&amp;EOMONTH($A4,0)),2)</f>
        <v>3.94</v>
      </c>
      <c r="H4" s="17">
        <f>ROUND(SUMIFS(Initiatives!$M:$M,Initiatives!$B:$B,"&gt;="&amp;$A4,Initiatives!$B:$B,"&lt;="&amp;EOMONTH($A4,0))/SUMIFS(Initiatives!$L:$L,Initiatives!$B:$B,"&gt;="&amp;$A4,Initiatives!$B:$B,"&lt;="&amp;EOMONTH($A4,0)),4)</f>
        <v>0.95130000000000003</v>
      </c>
      <c r="I4" s="11">
        <v>85100</v>
      </c>
    </row>
    <row r="5" spans="1:9">
      <c r="A5" s="15">
        <v>45658</v>
      </c>
      <c r="B5" s="11">
        <f>COUNTIFS(Initiatives!$B:$B,"&gt;="&amp;$A5,Initiatives!$B:$B,"&lt;="&amp;EOMONTH($A5,0),Initiatives!$N:$N,"&lt;&gt;Cancelled")</f>
        <v>14</v>
      </c>
      <c r="C5" s="11">
        <v>13</v>
      </c>
      <c r="D5" s="11">
        <f>SUMIFS(Initiatives!$I:$I,Initiatives!$B:$B,"&gt;="&amp;$A5,Initiatives!$B:$B,"&lt;="&amp;EOMONTH($A5,0),Initiatives!$N:$N,"&lt;&gt;Cancelled")</f>
        <v>727</v>
      </c>
      <c r="E5" s="11">
        <v>492</v>
      </c>
      <c r="F5" s="11">
        <f>SUMIFS(Initiatives!$J:$J,Initiatives!$B:$B,"&gt;="&amp;$A5,Initiatives!$B:$B,"&lt;="&amp;EOMONTH($A5,0),Initiatives!$N:$N,"&lt;&gt;Cancelled")</f>
        <v>1138</v>
      </c>
      <c r="G5" s="16">
        <f>ROUND(AVERAGEIFS(Initiatives!$K:$K,Initiatives!$B:$B,"&gt;="&amp;$A5,Initiatives!$B:$B,"&lt;="&amp;EOMONTH($A5,0)),2)</f>
        <v>4.22</v>
      </c>
      <c r="H5" s="17">
        <f>ROUND(SUMIFS(Initiatives!$M:$M,Initiatives!$B:$B,"&gt;="&amp;$A5,Initiatives!$B:$B,"&lt;="&amp;EOMONTH($A5,0))/SUMIFS(Initiatives!$L:$L,Initiatives!$B:$B,"&gt;="&amp;$A5,Initiatives!$B:$B,"&lt;="&amp;EOMONTH($A5,0)),4)</f>
        <v>0.93</v>
      </c>
      <c r="I5" s="11">
        <v>63300</v>
      </c>
    </row>
    <row r="6" spans="1:9">
      <c r="A6" s="15">
        <v>45689</v>
      </c>
      <c r="B6" s="11">
        <f>COUNTIFS(Initiatives!$B:$B,"&gt;="&amp;$A6,Initiatives!$B:$B,"&lt;="&amp;EOMONTH($A6,0),Initiatives!$N:$N,"&lt;&gt;Cancelled")</f>
        <v>15</v>
      </c>
      <c r="C6" s="11">
        <v>16</v>
      </c>
      <c r="D6" s="11">
        <f>SUMIFS(Initiatives!$I:$I,Initiatives!$B:$B,"&gt;="&amp;$A6,Initiatives!$B:$B,"&lt;="&amp;EOMONTH($A6,0),Initiatives!$N:$N,"&lt;&gt;Cancelled")</f>
        <v>762</v>
      </c>
      <c r="E6" s="11">
        <v>462</v>
      </c>
      <c r="F6" s="11">
        <f>SUMIFS(Initiatives!$J:$J,Initiatives!$B:$B,"&gt;="&amp;$A6,Initiatives!$B:$B,"&lt;="&amp;EOMONTH($A6,0),Initiatives!$N:$N,"&lt;&gt;Cancelled")</f>
        <v>773</v>
      </c>
      <c r="G6" s="16">
        <f>ROUND(AVERAGEIFS(Initiatives!$K:$K,Initiatives!$B:$B,"&gt;="&amp;$A6,Initiatives!$B:$B,"&lt;="&amp;EOMONTH($A6,0)),2)</f>
        <v>4.08</v>
      </c>
      <c r="H6" s="17">
        <f>ROUND(SUMIFS(Initiatives!$M:$M,Initiatives!$B:$B,"&gt;="&amp;$A6,Initiatives!$B:$B,"&lt;="&amp;EOMONTH($A6,0))/SUMIFS(Initiatives!$L:$L,Initiatives!$B:$B,"&gt;="&amp;$A6,Initiatives!$B:$B,"&lt;="&amp;EOMONTH($A6,0)),4)</f>
        <v>0.87760000000000005</v>
      </c>
      <c r="I6" s="11">
        <v>44500</v>
      </c>
    </row>
    <row r="7" spans="1:9">
      <c r="A7" s="15">
        <v>45717</v>
      </c>
      <c r="B7" s="11">
        <f>COUNTIFS(Initiatives!$B:$B,"&gt;="&amp;$A7,Initiatives!$B:$B,"&lt;="&amp;EOMONTH($A7,0),Initiatives!$N:$N,"&lt;&gt;Cancelled")</f>
        <v>11</v>
      </c>
      <c r="C7" s="11">
        <v>12</v>
      </c>
      <c r="D7" s="11">
        <f>SUMIFS(Initiatives!$I:$I,Initiatives!$B:$B,"&gt;="&amp;$A7,Initiatives!$B:$B,"&lt;="&amp;EOMONTH($A7,0),Initiatives!$N:$N,"&lt;&gt;Cancelled")</f>
        <v>682</v>
      </c>
      <c r="E7" s="11">
        <v>426</v>
      </c>
      <c r="F7" s="11">
        <f>SUMIFS(Initiatives!$J:$J,Initiatives!$B:$B,"&gt;="&amp;$A7,Initiatives!$B:$B,"&lt;="&amp;EOMONTH($A7,0),Initiatives!$N:$N,"&lt;&gt;Cancelled")</f>
        <v>2467</v>
      </c>
      <c r="G7" s="16">
        <f>ROUND(AVERAGEIFS(Initiatives!$K:$K,Initiatives!$B:$B,"&gt;="&amp;$A7,Initiatives!$B:$B,"&lt;="&amp;EOMONTH($A7,0)),2)</f>
        <v>4.22</v>
      </c>
      <c r="H7" s="17">
        <f>ROUND(SUMIFS(Initiatives!$M:$M,Initiatives!$B:$B,"&gt;="&amp;$A7,Initiatives!$B:$B,"&lt;="&amp;EOMONTH($A7,0))/SUMIFS(Initiatives!$L:$L,Initiatives!$B:$B,"&gt;="&amp;$A7,Initiatives!$B:$B,"&lt;="&amp;EOMONTH($A7,0)),4)</f>
        <v>0.86480000000000001</v>
      </c>
      <c r="I7" s="11">
        <v>42600</v>
      </c>
    </row>
    <row r="8" spans="1:9">
      <c r="A8" s="15">
        <v>45748</v>
      </c>
      <c r="B8" s="11">
        <f>COUNTIFS(Initiatives!$B:$B,"&gt;="&amp;$A8,Initiatives!$B:$B,"&lt;="&amp;EOMONTH($A8,0),Initiatives!$N:$N,"&lt;&gt;Cancelled")</f>
        <v>15</v>
      </c>
      <c r="C8" s="11">
        <v>15</v>
      </c>
      <c r="D8" s="11">
        <f>SUMIFS(Initiatives!$I:$I,Initiatives!$B:$B,"&gt;="&amp;$A8,Initiatives!$B:$B,"&lt;="&amp;EOMONTH($A8,0),Initiatives!$N:$N,"&lt;&gt;Cancelled")</f>
        <v>815</v>
      </c>
      <c r="E8" s="11">
        <v>567</v>
      </c>
      <c r="F8" s="11">
        <f>SUMIFS(Initiatives!$J:$J,Initiatives!$B:$B,"&gt;="&amp;$A8,Initiatives!$B:$B,"&lt;="&amp;EOMONTH($A8,0),Initiatives!$N:$N,"&lt;&gt;Cancelled")</f>
        <v>898</v>
      </c>
      <c r="G8" s="16">
        <f>ROUND(AVERAGEIFS(Initiatives!$K:$K,Initiatives!$B:$B,"&gt;="&amp;$A8,Initiatives!$B:$B,"&lt;="&amp;EOMONTH($A8,0)),2)</f>
        <v>4.1399999999999997</v>
      </c>
      <c r="H8" s="17">
        <f>ROUND(SUMIFS(Initiatives!$M:$M,Initiatives!$B:$B,"&gt;="&amp;$A8,Initiatives!$B:$B,"&lt;="&amp;EOMONTH($A8,0))/SUMIFS(Initiatives!$L:$L,Initiatives!$B:$B,"&gt;="&amp;$A8,Initiatives!$B:$B,"&lt;="&amp;EOMONTH($A8,0)),4)</f>
        <v>0.94099999999999995</v>
      </c>
      <c r="I8" s="11">
        <v>42900</v>
      </c>
    </row>
    <row r="9" spans="1:9">
      <c r="A9" s="15">
        <v>45778</v>
      </c>
      <c r="B9" s="11">
        <f>COUNTIFS(Initiatives!$B:$B,"&gt;="&amp;$A9,Initiatives!$B:$B,"&lt;="&amp;EOMONTH($A9,0),Initiatives!$N:$N,"&lt;&gt;Cancelled")</f>
        <v>15</v>
      </c>
      <c r="C9" s="11">
        <v>13</v>
      </c>
      <c r="D9" s="11">
        <f>SUMIFS(Initiatives!$I:$I,Initiatives!$B:$B,"&gt;="&amp;$A9,Initiatives!$B:$B,"&lt;="&amp;EOMONTH($A9,0),Initiatives!$N:$N,"&lt;&gt;Cancelled")</f>
        <v>905</v>
      </c>
      <c r="E9" s="11">
        <v>618</v>
      </c>
      <c r="F9" s="11">
        <f>SUMIFS(Initiatives!$J:$J,Initiatives!$B:$B,"&gt;="&amp;$A9,Initiatives!$B:$B,"&lt;="&amp;EOMONTH($A9,0),Initiatives!$N:$N,"&lt;&gt;Cancelled")</f>
        <v>636</v>
      </c>
      <c r="G9" s="16">
        <f>ROUND(AVERAGEIFS(Initiatives!$K:$K,Initiatives!$B:$B,"&gt;="&amp;$A9,Initiatives!$B:$B,"&lt;="&amp;EOMONTH($A9,0)),2)</f>
        <v>4.07</v>
      </c>
      <c r="H9" s="17">
        <f>ROUND(SUMIFS(Initiatives!$M:$M,Initiatives!$B:$B,"&gt;="&amp;$A9,Initiatives!$B:$B,"&lt;="&amp;EOMONTH($A9,0))/SUMIFS(Initiatives!$L:$L,Initiatives!$B:$B,"&gt;="&amp;$A9,Initiatives!$B:$B,"&lt;="&amp;EOMONTH($A9,0)),4)</f>
        <v>0.86260000000000003</v>
      </c>
      <c r="I9" s="11">
        <v>69700</v>
      </c>
    </row>
    <row r="10" spans="1:9">
      <c r="A10" s="15">
        <v>45809</v>
      </c>
      <c r="B10" s="11">
        <f>COUNTIFS(Initiatives!$B:$B,"&gt;="&amp;$A10,Initiatives!$B:$B,"&lt;="&amp;EOMONTH($A10,0),Initiatives!$N:$N,"&lt;&gt;Cancelled")</f>
        <v>15</v>
      </c>
      <c r="C10" s="11">
        <v>15</v>
      </c>
      <c r="D10" s="11">
        <f>SUMIFS(Initiatives!$I:$I,Initiatives!$B:$B,"&gt;="&amp;$A10,Initiatives!$B:$B,"&lt;="&amp;EOMONTH($A10,0),Initiatives!$N:$N,"&lt;&gt;Cancelled")</f>
        <v>667</v>
      </c>
      <c r="E10" s="11">
        <v>431</v>
      </c>
      <c r="F10" s="11">
        <f>SUMIFS(Initiatives!$J:$J,Initiatives!$B:$B,"&gt;="&amp;$A10,Initiatives!$B:$B,"&lt;="&amp;EOMONTH($A10,0),Initiatives!$N:$N,"&lt;&gt;Cancelled")</f>
        <v>728</v>
      </c>
      <c r="G10" s="16">
        <f>ROUND(AVERAGEIFS(Initiatives!$K:$K,Initiatives!$B:$B,"&gt;="&amp;$A10,Initiatives!$B:$B,"&lt;="&amp;EOMONTH($A10,0)),2)</f>
        <v>4.2300000000000004</v>
      </c>
      <c r="H10" s="17">
        <f>ROUND(SUMIFS(Initiatives!$M:$M,Initiatives!$B:$B,"&gt;="&amp;$A10,Initiatives!$B:$B,"&lt;="&amp;EOMONTH($A10,0))/SUMIFS(Initiatives!$L:$L,Initiatives!$B:$B,"&gt;="&amp;$A10,Initiatives!$B:$B,"&lt;="&amp;EOMONTH($A10,0)),4)</f>
        <v>0.93630000000000002</v>
      </c>
      <c r="I10" s="11">
        <v>49600</v>
      </c>
    </row>
    <row r="11" spans="1:9">
      <c r="A11" s="15">
        <v>45839</v>
      </c>
      <c r="B11" s="11">
        <f>COUNTIFS(Initiatives!$B:$B,"&gt;="&amp;$A11,Initiatives!$B:$B,"&lt;="&amp;EOMONTH($A11,0),Initiatives!$N:$N,"&lt;&gt;Cancelled")</f>
        <v>9</v>
      </c>
      <c r="C11" s="11">
        <v>8</v>
      </c>
      <c r="D11" s="11">
        <f>SUMIFS(Initiatives!$I:$I,Initiatives!$B:$B,"&gt;="&amp;$A11,Initiatives!$B:$B,"&lt;="&amp;EOMONTH($A11,0),Initiatives!$N:$N,"&lt;&gt;Cancelled")</f>
        <v>263</v>
      </c>
      <c r="E11" s="11">
        <v>191</v>
      </c>
      <c r="F11" s="11">
        <f>SUMIFS(Initiatives!$J:$J,Initiatives!$B:$B,"&gt;="&amp;$A11,Initiatives!$B:$B,"&lt;="&amp;EOMONTH($A11,0),Initiatives!$N:$N,"&lt;&gt;Cancelled")</f>
        <v>70</v>
      </c>
      <c r="G11" s="16">
        <f>ROUND(AVERAGEIFS(Initiatives!$K:$K,Initiatives!$B:$B,"&gt;="&amp;$A11,Initiatives!$B:$B,"&lt;="&amp;EOMONTH($A11,0)),2)</f>
        <v>3.84</v>
      </c>
      <c r="H11" s="17">
        <f>ROUND(SUMIFS(Initiatives!$M:$M,Initiatives!$B:$B,"&gt;="&amp;$A11,Initiatives!$B:$B,"&lt;="&amp;EOMONTH($A11,0))/SUMIFS(Initiatives!$L:$L,Initiatives!$B:$B,"&gt;="&amp;$A11,Initiatives!$B:$B,"&lt;="&amp;EOMONTH($A11,0)),4)</f>
        <v>0.86129999999999995</v>
      </c>
      <c r="I11" s="11">
        <v>10600</v>
      </c>
    </row>
    <row r="12" spans="1:9">
      <c r="A12" s="15">
        <v>45870</v>
      </c>
      <c r="B12" s="11">
        <f>COUNTIFS(Initiatives!$B:$B,"&gt;="&amp;$A12,Initiatives!$B:$B,"&lt;="&amp;EOMONTH($A12,0),Initiatives!$N:$N,"&lt;&gt;Cancelled")</f>
        <v>8</v>
      </c>
      <c r="C12" s="11">
        <v>7</v>
      </c>
      <c r="D12" s="11">
        <f>SUMIFS(Initiatives!$I:$I,Initiatives!$B:$B,"&gt;="&amp;$A12,Initiatives!$B:$B,"&lt;="&amp;EOMONTH($A12,0),Initiatives!$N:$N,"&lt;&gt;Cancelled")</f>
        <v>381</v>
      </c>
      <c r="E12" s="11">
        <v>230</v>
      </c>
      <c r="F12" s="11">
        <f>SUMIFS(Initiatives!$J:$J,Initiatives!$B:$B,"&gt;="&amp;$A12,Initiatives!$B:$B,"&lt;="&amp;EOMONTH($A12,0),Initiatives!$N:$N,"&lt;&gt;Cancelled")</f>
        <v>182</v>
      </c>
      <c r="G12" s="16">
        <f>ROUND(AVERAGEIFS(Initiatives!$K:$K,Initiatives!$B:$B,"&gt;="&amp;$A12,Initiatives!$B:$B,"&lt;="&amp;EOMONTH($A12,0)),2)</f>
        <v>3.86</v>
      </c>
      <c r="H12" s="17">
        <f>ROUND(SUMIFS(Initiatives!$M:$M,Initiatives!$B:$B,"&gt;="&amp;$A12,Initiatives!$B:$B,"&lt;="&amp;EOMONTH($A12,0))/SUMIFS(Initiatives!$L:$L,Initiatives!$B:$B,"&gt;="&amp;$A12,Initiatives!$B:$B,"&lt;="&amp;EOMONTH($A12,0)),4)</f>
        <v>0.74270000000000003</v>
      </c>
      <c r="I12" s="11">
        <v>18600</v>
      </c>
    </row>
    <row r="13" spans="1:9">
      <c r="A13" s="15">
        <v>45901</v>
      </c>
      <c r="B13" s="11">
        <f>COUNTIFS(Initiatives!$B:$B,"&gt;="&amp;$A13,Initiatives!$B:$B,"&lt;="&amp;EOMONTH($A13,0),Initiatives!$N:$N,"&lt;&gt;Cancelled")</f>
        <v>9</v>
      </c>
      <c r="C13" s="11">
        <v>7</v>
      </c>
      <c r="D13" s="11">
        <f>SUMIFS(Initiatives!$I:$I,Initiatives!$B:$B,"&gt;="&amp;$A13,Initiatives!$B:$B,"&lt;="&amp;EOMONTH($A13,0),Initiatives!$N:$N,"&lt;&gt;Cancelled")</f>
        <v>658</v>
      </c>
      <c r="E13" s="11">
        <v>413</v>
      </c>
      <c r="F13" s="11">
        <f>SUMIFS(Initiatives!$J:$J,Initiatives!$B:$B,"&gt;="&amp;$A13,Initiatives!$B:$B,"&lt;="&amp;EOMONTH($A13,0),Initiatives!$N:$N,"&lt;&gt;Cancelled")</f>
        <v>795</v>
      </c>
      <c r="G13" s="16">
        <f>ROUND(AVERAGEIFS(Initiatives!$K:$K,Initiatives!$B:$B,"&gt;="&amp;$A13,Initiatives!$B:$B,"&lt;="&amp;EOMONTH($A13,0)),2)</f>
        <v>4.0599999999999996</v>
      </c>
      <c r="H13" s="17">
        <f>ROUND(SUMIFS(Initiatives!$M:$M,Initiatives!$B:$B,"&gt;="&amp;$A13,Initiatives!$B:$B,"&lt;="&amp;EOMONTH($A13,0))/SUMIFS(Initiatives!$L:$L,Initiatives!$B:$B,"&gt;="&amp;$A13,Initiatives!$B:$B,"&lt;="&amp;EOMONTH($A13,0)),4)</f>
        <v>0.66539999999999999</v>
      </c>
      <c r="I13" s="11">
        <v>48800</v>
      </c>
    </row>
    <row r="14" spans="1:9">
      <c r="A14" s="15">
        <v>45931</v>
      </c>
      <c r="B14" s="11">
        <f>COUNTIFS(Initiatives!$B:$B,"&gt;="&amp;$A14,Initiatives!$B:$B,"&lt;="&amp;EOMONTH($A14,0),Initiatives!$N:$N,"&lt;&gt;Cancelled")</f>
        <v>15</v>
      </c>
      <c r="C14" s="11">
        <v>13</v>
      </c>
      <c r="D14" s="11">
        <f>SUMIFS(Initiatives!$I:$I,Initiatives!$B:$B,"&gt;="&amp;$A14,Initiatives!$B:$B,"&lt;="&amp;EOMONTH($A14,0),Initiatives!$N:$N,"&lt;&gt;Cancelled")</f>
        <v>698</v>
      </c>
      <c r="E14" s="11">
        <v>419</v>
      </c>
      <c r="F14" s="11">
        <f>SUMIFS(Initiatives!$J:$J,Initiatives!$B:$B,"&gt;="&amp;$A14,Initiatives!$B:$B,"&lt;="&amp;EOMONTH($A14,0),Initiatives!$N:$N,"&lt;&gt;Cancelled")</f>
        <v>783</v>
      </c>
      <c r="G14" s="16">
        <f>ROUND(AVERAGEIFS(Initiatives!$K:$K,Initiatives!$B:$B,"&gt;="&amp;$A14,Initiatives!$B:$B,"&lt;="&amp;EOMONTH($A14,0)),2)</f>
        <v>4.04</v>
      </c>
      <c r="H14" s="17">
        <f>ROUND(SUMIFS(Initiatives!$M:$M,Initiatives!$B:$B,"&gt;="&amp;$A14,Initiatives!$B:$B,"&lt;="&amp;EOMONTH($A14,0))/SUMIFS(Initiatives!$L:$L,Initiatives!$B:$B,"&gt;="&amp;$A14,Initiatives!$B:$B,"&lt;="&amp;EOMONTH($A14,0)),4)</f>
        <v>0.96189999999999998</v>
      </c>
      <c r="I14" s="11">
        <v>50600</v>
      </c>
    </row>
    <row r="15" spans="1:9">
      <c r="A15" s="15">
        <v>45962</v>
      </c>
      <c r="B15" s="11">
        <f>COUNTIFS(Initiatives!$B:$B,"&gt;="&amp;$A15,Initiatives!$B:$B,"&lt;="&amp;EOMONTH($A15,0),Initiatives!$N:$N,"&lt;&gt;Cancelled")</f>
        <v>15</v>
      </c>
      <c r="C15" s="11">
        <v>15</v>
      </c>
      <c r="D15" s="11">
        <f>SUMIFS(Initiatives!$I:$I,Initiatives!$B:$B,"&gt;="&amp;$A15,Initiatives!$B:$B,"&lt;="&amp;EOMONTH($A15,0),Initiatives!$N:$N,"&lt;&gt;Cancelled")</f>
        <v>645</v>
      </c>
      <c r="E15" s="11">
        <v>445</v>
      </c>
      <c r="F15" s="11">
        <f>SUMIFS(Initiatives!$J:$J,Initiatives!$B:$B,"&gt;="&amp;$A15,Initiatives!$B:$B,"&lt;="&amp;EOMONTH($A15,0),Initiatives!$N:$N,"&lt;&gt;Cancelled")</f>
        <v>738</v>
      </c>
      <c r="G15" s="16">
        <f>ROUND(AVERAGEIFS(Initiatives!$K:$K,Initiatives!$B:$B,"&gt;="&amp;$A15,Initiatives!$B:$B,"&lt;="&amp;EOMONTH($A15,0)),2)</f>
        <v>4.29</v>
      </c>
      <c r="H15" s="17">
        <f>ROUND(SUMIFS(Initiatives!$M:$M,Initiatives!$B:$B,"&gt;="&amp;$A15,Initiatives!$B:$B,"&lt;="&amp;EOMONTH($A15,0))/SUMIFS(Initiatives!$L:$L,Initiatives!$B:$B,"&gt;="&amp;$A15,Initiatives!$B:$B,"&lt;="&amp;EOMONTH($A15,0)),4)</f>
        <v>0.92610000000000003</v>
      </c>
      <c r="I15" s="11">
        <v>40000</v>
      </c>
    </row>
    <row r="16" spans="1:9">
      <c r="A16" s="15">
        <v>45992</v>
      </c>
      <c r="B16" s="11">
        <f>COUNTIFS(Initiatives!$B:$B,"&gt;="&amp;$A16,Initiatives!$B:$B,"&lt;="&amp;EOMONTH($A16,0),Initiatives!$N:$N,"&lt;&gt;Cancelled")</f>
        <v>15</v>
      </c>
      <c r="C16" s="11">
        <v>16</v>
      </c>
      <c r="D16" s="11">
        <f>SUMIFS(Initiatives!$I:$I,Initiatives!$B:$B,"&gt;="&amp;$A16,Initiatives!$B:$B,"&lt;="&amp;EOMONTH($A16,0),Initiatives!$N:$N,"&lt;&gt;Cancelled")</f>
        <v>802</v>
      </c>
      <c r="E16" s="11">
        <v>500</v>
      </c>
      <c r="F16" s="11">
        <f>SUMIFS(Initiatives!$J:$J,Initiatives!$B:$B,"&gt;="&amp;$A16,Initiatives!$B:$B,"&lt;="&amp;EOMONTH($A16,0),Initiatives!$N:$N,"&lt;&gt;Cancelled")</f>
        <v>1353</v>
      </c>
      <c r="G16" s="16">
        <f>ROUND(AVERAGEIFS(Initiatives!$K:$K,Initiatives!$B:$B,"&gt;="&amp;$A16,Initiatives!$B:$B,"&lt;="&amp;EOMONTH($A16,0)),2)</f>
        <v>4.29</v>
      </c>
      <c r="H16" s="17">
        <f>ROUND(SUMIFS(Initiatives!$M:$M,Initiatives!$B:$B,"&gt;="&amp;$A16,Initiatives!$B:$B,"&lt;="&amp;EOMONTH($A16,0))/SUMIFS(Initiatives!$L:$L,Initiatives!$B:$B,"&gt;="&amp;$A16,Initiatives!$B:$B,"&lt;="&amp;EOMONTH($A16,0)),4)</f>
        <v>0.93740000000000001</v>
      </c>
      <c r="I16" s="11">
        <v>41700</v>
      </c>
    </row>
    <row r="17" spans="1:9">
      <c r="A17" s="15">
        <v>46023</v>
      </c>
      <c r="B17" s="11">
        <f>COUNTIFS(Initiatives!$B:$B,"&gt;="&amp;$A17,Initiatives!$B:$B,"&lt;="&amp;EOMONTH($A17,0),Initiatives!$N:$N,"&lt;&gt;Cancelled")</f>
        <v>15</v>
      </c>
      <c r="C17" s="11">
        <v>17</v>
      </c>
      <c r="D17" s="11">
        <f>SUMIFS(Initiatives!$I:$I,Initiatives!$B:$B,"&gt;="&amp;$A17,Initiatives!$B:$B,"&lt;="&amp;EOMONTH($A17,0),Initiatives!$N:$N,"&lt;&gt;Cancelled")</f>
        <v>721</v>
      </c>
      <c r="E17" s="11">
        <v>483</v>
      </c>
      <c r="F17" s="11">
        <f>SUMIFS(Initiatives!$J:$J,Initiatives!$B:$B,"&gt;="&amp;$A17,Initiatives!$B:$B,"&lt;="&amp;EOMONTH($A17,0),Initiatives!$N:$N,"&lt;&gt;Cancelled")</f>
        <v>571</v>
      </c>
      <c r="G17" s="16">
        <f>ROUND(AVERAGEIFS(Initiatives!$K:$K,Initiatives!$B:$B,"&gt;="&amp;$A17,Initiatives!$B:$B,"&lt;="&amp;EOMONTH($A17,0)),2)</f>
        <v>4.26</v>
      </c>
      <c r="H17" s="17">
        <f>ROUND(SUMIFS(Initiatives!$M:$M,Initiatives!$B:$B,"&gt;="&amp;$A17,Initiatives!$B:$B,"&lt;="&amp;EOMONTH($A17,0))/SUMIFS(Initiatives!$L:$L,Initiatives!$B:$B,"&gt;="&amp;$A17,Initiatives!$B:$B,"&lt;="&amp;EOMONTH($A17,0)),4)</f>
        <v>0.94640000000000002</v>
      </c>
      <c r="I17" s="11">
        <v>39200</v>
      </c>
    </row>
    <row r="18" spans="1:9">
      <c r="A18" s="15">
        <v>46054</v>
      </c>
      <c r="B18" s="11">
        <f>COUNTIFS(Initiatives!$B:$B,"&gt;="&amp;$A18,Initiatives!$B:$B,"&lt;="&amp;EOMONTH($A18,0),Initiatives!$N:$N,"&lt;&gt;Cancelled")</f>
        <v>12</v>
      </c>
      <c r="C18" s="11">
        <v>12</v>
      </c>
      <c r="D18" s="11">
        <f>SUMIFS(Initiatives!$I:$I,Initiatives!$B:$B,"&gt;="&amp;$A18,Initiatives!$B:$B,"&lt;="&amp;EOMONTH($A18,0),Initiatives!$N:$N,"&lt;&gt;Cancelled")</f>
        <v>320</v>
      </c>
      <c r="E18" s="11">
        <v>207</v>
      </c>
      <c r="F18" s="11">
        <f>SUMIFS(Initiatives!$J:$J,Initiatives!$B:$B,"&gt;="&amp;$A18,Initiatives!$B:$B,"&lt;="&amp;EOMONTH($A18,0),Initiatives!$N:$N,"&lt;&gt;Cancelled")</f>
        <v>1925</v>
      </c>
      <c r="G18" s="16">
        <f>ROUND(AVERAGEIFS(Initiatives!$K:$K,Initiatives!$B:$B,"&gt;="&amp;$A18,Initiatives!$B:$B,"&lt;="&amp;EOMONTH($A18,0)),2)</f>
        <v>4.38</v>
      </c>
      <c r="H18" s="17">
        <f>ROUND(SUMIFS(Initiatives!$M:$M,Initiatives!$B:$B,"&gt;="&amp;$A18,Initiatives!$B:$B,"&lt;="&amp;EOMONTH($A18,0))/SUMIFS(Initiatives!$L:$L,Initiatives!$B:$B,"&gt;="&amp;$A18,Initiatives!$B:$B,"&lt;="&amp;EOMONTH($A18,0)),4)</f>
        <v>0.86770000000000003</v>
      </c>
      <c r="I18" s="11">
        <v>19100</v>
      </c>
    </row>
    <row r="19" spans="1:9">
      <c r="A19" s="15">
        <v>46082</v>
      </c>
      <c r="B19" s="11">
        <f>COUNTIFS(Initiatives!$B:$B,"&gt;="&amp;$A19,Initiatives!$B:$B,"&lt;="&amp;EOMONTH($A19,0),Initiatives!$N:$N,"&lt;&gt;Cancelled")</f>
        <v>12</v>
      </c>
      <c r="C19" s="11">
        <v>11</v>
      </c>
      <c r="D19" s="11">
        <f>SUMIFS(Initiatives!$I:$I,Initiatives!$B:$B,"&gt;="&amp;$A19,Initiatives!$B:$B,"&lt;="&amp;EOMONTH($A19,0),Initiatives!$N:$N,"&lt;&gt;Cancelled")</f>
        <v>516</v>
      </c>
      <c r="E19" s="11">
        <v>331</v>
      </c>
      <c r="F19" s="11">
        <f>SUMIFS(Initiatives!$J:$J,Initiatives!$B:$B,"&gt;="&amp;$A19,Initiatives!$B:$B,"&lt;="&amp;EOMONTH($A19,0),Initiatives!$N:$N,"&lt;&gt;Cancelled")</f>
        <v>2393</v>
      </c>
      <c r="G19" s="16">
        <f>ROUND(AVERAGEIFS(Initiatives!$K:$K,Initiatives!$B:$B,"&gt;="&amp;$A19,Initiatives!$B:$B,"&lt;="&amp;EOMONTH($A19,0)),2)</f>
        <v>4.2300000000000004</v>
      </c>
      <c r="H19" s="17">
        <f>ROUND(SUMIFS(Initiatives!$M:$M,Initiatives!$B:$B,"&gt;="&amp;$A19,Initiatives!$B:$B,"&lt;="&amp;EOMONTH($A19,0))/SUMIFS(Initiatives!$L:$L,Initiatives!$B:$B,"&gt;="&amp;$A19,Initiatives!$B:$B,"&lt;="&amp;EOMONTH($A19,0)),4)</f>
        <v>0.88660000000000005</v>
      </c>
      <c r="I19" s="11">
        <v>35800</v>
      </c>
    </row>
    <row r="20" spans="1:9">
      <c r="A20" s="15">
        <v>46113</v>
      </c>
      <c r="B20" s="11">
        <f>COUNTIFS(Initiatives!$B:$B,"&gt;="&amp;$A20,Initiatives!$B:$B,"&lt;="&amp;EOMONTH($A20,0),Initiatives!$N:$N,"&lt;&gt;Cancelled")</f>
        <v>15</v>
      </c>
      <c r="C20" s="11">
        <v>14</v>
      </c>
      <c r="D20" s="11">
        <f>SUMIFS(Initiatives!$I:$I,Initiatives!$B:$B,"&gt;="&amp;$A20,Initiatives!$B:$B,"&lt;="&amp;EOMONTH($A20,0),Initiatives!$N:$N,"&lt;&gt;Cancelled")</f>
        <v>858</v>
      </c>
      <c r="E20" s="11">
        <v>561</v>
      </c>
      <c r="F20" s="11">
        <f>SUMIFS(Initiatives!$J:$J,Initiatives!$B:$B,"&gt;="&amp;$A20,Initiatives!$B:$B,"&lt;="&amp;EOMONTH($A20,0),Initiatives!$N:$N,"&lt;&gt;Cancelled")</f>
        <v>924</v>
      </c>
      <c r="G20" s="16">
        <f>ROUND(AVERAGEIFS(Initiatives!$K:$K,Initiatives!$B:$B,"&gt;="&amp;$A20,Initiatives!$B:$B,"&lt;="&amp;EOMONTH($A20,0)),2)</f>
        <v>4.21</v>
      </c>
      <c r="H20" s="17">
        <f>ROUND(SUMIFS(Initiatives!$M:$M,Initiatives!$B:$B,"&gt;="&amp;$A20,Initiatives!$B:$B,"&lt;="&amp;EOMONTH($A20,0))/SUMIFS(Initiatives!$L:$L,Initiatives!$B:$B,"&gt;="&amp;$A20,Initiatives!$B:$B,"&lt;="&amp;EOMONTH($A20,0)),4)</f>
        <v>0.91649999999999998</v>
      </c>
      <c r="I20" s="11">
        <v>60900</v>
      </c>
    </row>
    <row r="21" spans="1:9">
      <c r="A21" s="15">
        <v>46143</v>
      </c>
      <c r="B21" s="11">
        <f>COUNTIFS(Initiatives!$B:$B,"&gt;="&amp;$A21,Initiatives!$B:$B,"&lt;="&amp;EOMONTH($A21,0),Initiatives!$N:$N,"&lt;&gt;Cancelled")</f>
        <v>15</v>
      </c>
      <c r="C21" s="11">
        <v>14</v>
      </c>
      <c r="D21" s="11">
        <f>SUMIFS(Initiatives!$I:$I,Initiatives!$B:$B,"&gt;="&amp;$A21,Initiatives!$B:$B,"&lt;="&amp;EOMONTH($A21,0),Initiatives!$N:$N,"&lt;&gt;Cancelled")</f>
        <v>802</v>
      </c>
      <c r="E21" s="11">
        <v>507</v>
      </c>
      <c r="F21" s="11">
        <f>SUMIFS(Initiatives!$J:$J,Initiatives!$B:$B,"&gt;="&amp;$A21,Initiatives!$B:$B,"&lt;="&amp;EOMONTH($A21,0),Initiatives!$N:$N,"&lt;&gt;Cancelled")</f>
        <v>1180</v>
      </c>
      <c r="G21" s="16">
        <f>ROUND(AVERAGEIFS(Initiatives!$K:$K,Initiatives!$B:$B,"&gt;="&amp;$A21,Initiatives!$B:$B,"&lt;="&amp;EOMONTH($A21,0)),2)</f>
        <v>4.2699999999999996</v>
      </c>
      <c r="H21" s="17">
        <f>ROUND(SUMIFS(Initiatives!$M:$M,Initiatives!$B:$B,"&gt;="&amp;$A21,Initiatives!$B:$B,"&lt;="&amp;EOMONTH($A21,0))/SUMIFS(Initiatives!$L:$L,Initiatives!$B:$B,"&gt;="&amp;$A21,Initiatives!$B:$B,"&lt;="&amp;EOMONTH($A21,0)),4)</f>
        <v>0.86709999999999998</v>
      </c>
      <c r="I21" s="11">
        <v>60500</v>
      </c>
    </row>
    <row r="22" spans="1:9">
      <c r="A22" s="15">
        <v>46174</v>
      </c>
      <c r="B22" s="11">
        <f>COUNTIFS(Initiatives!$B:$B,"&gt;="&amp;$A22,Initiatives!$B:$B,"&lt;="&amp;EOMONTH($A22,0),Initiatives!$N:$N,"&lt;&gt;Cancelled")</f>
        <v>15</v>
      </c>
      <c r="C22" s="11">
        <v>16</v>
      </c>
      <c r="D22" s="11">
        <f>SUMIFS(Initiatives!$I:$I,Initiatives!$B:$B,"&gt;="&amp;$A22,Initiatives!$B:$B,"&lt;="&amp;EOMONTH($A22,0),Initiatives!$N:$N,"&lt;&gt;Cancelled")</f>
        <v>536</v>
      </c>
      <c r="E22" s="11">
        <v>388</v>
      </c>
      <c r="F22" s="11">
        <f>SUMIFS(Initiatives!$J:$J,Initiatives!$B:$B,"&gt;="&amp;$A22,Initiatives!$B:$B,"&lt;="&amp;EOMONTH($A22,0),Initiatives!$N:$N,"&lt;&gt;Cancelled")</f>
        <v>551</v>
      </c>
      <c r="G22" s="16">
        <f>ROUND(AVERAGEIFS(Initiatives!$K:$K,Initiatives!$B:$B,"&gt;="&amp;$A22,Initiatives!$B:$B,"&lt;="&amp;EOMONTH($A22,0)),2)</f>
        <v>4.21</v>
      </c>
      <c r="H22" s="17">
        <f>ROUND(SUMIFS(Initiatives!$M:$M,Initiatives!$B:$B,"&gt;="&amp;$A22,Initiatives!$B:$B,"&lt;="&amp;EOMONTH($A22,0))/SUMIFS(Initiatives!$L:$L,Initiatives!$B:$B,"&gt;="&amp;$A22,Initiatives!$B:$B,"&lt;="&amp;EOMONTH($A22,0)),4)</f>
        <v>0.94379999999999997</v>
      </c>
      <c r="I22" s="11">
        <v>46200</v>
      </c>
    </row>
    <row r="23" spans="1:9">
      <c r="A23" s="15">
        <v>46204</v>
      </c>
      <c r="B23" s="11">
        <f>COUNTIFS(Initiatives!$B:$B,"&gt;="&amp;$A23,Initiatives!$B:$B,"&lt;="&amp;EOMONTH($A23,0),Initiatives!$N:$N,"&lt;&gt;Cancelled")</f>
        <v>10</v>
      </c>
      <c r="C23" s="11">
        <v>11</v>
      </c>
      <c r="D23" s="11">
        <f>SUMIFS(Initiatives!$I:$I,Initiatives!$B:$B,"&gt;="&amp;$A23,Initiatives!$B:$B,"&lt;="&amp;EOMONTH($A23,0),Initiatives!$N:$N,"&lt;&gt;Cancelled")</f>
        <v>209</v>
      </c>
      <c r="E23" s="11">
        <v>140</v>
      </c>
      <c r="F23" s="11">
        <f>SUMIFS(Initiatives!$J:$J,Initiatives!$B:$B,"&gt;="&amp;$A23,Initiatives!$B:$B,"&lt;="&amp;EOMONTH($A23,0),Initiatives!$N:$N,"&lt;&gt;Cancelled")</f>
        <v>127</v>
      </c>
      <c r="G23" s="16">
        <f>ROUND(AVERAGEIFS(Initiatives!$K:$K,Initiatives!$B:$B,"&gt;="&amp;$A23,Initiatives!$B:$B,"&lt;="&amp;EOMONTH($A23,0)),2)</f>
        <v>4.21</v>
      </c>
      <c r="H23" s="17">
        <f>ROUND(SUMIFS(Initiatives!$M:$M,Initiatives!$B:$B,"&gt;="&amp;$A23,Initiatives!$B:$B,"&lt;="&amp;EOMONTH($A23,0))/SUMIFS(Initiatives!$L:$L,Initiatives!$B:$B,"&gt;="&amp;$A23,Initiatives!$B:$B,"&lt;="&amp;EOMONTH($A23,0)),4)</f>
        <v>0.90639999999999998</v>
      </c>
      <c r="I23" s="11">
        <v>6100</v>
      </c>
    </row>
    <row r="24" spans="1:9">
      <c r="A24" s="15">
        <v>46235</v>
      </c>
      <c r="B24" s="11">
        <f>COUNTIFS(Initiatives!$B:$B,"&gt;="&amp;$A24,Initiatives!$B:$B,"&lt;="&amp;EOMONTH($A24,0),Initiatives!$N:$N,"&lt;&gt;Cancelled")</f>
        <v>10</v>
      </c>
      <c r="C24" s="11">
        <v>11</v>
      </c>
      <c r="D24" s="11">
        <f>SUMIFS(Initiatives!$I:$I,Initiatives!$B:$B,"&gt;="&amp;$A24,Initiatives!$B:$B,"&lt;="&amp;EOMONTH($A24,0),Initiatives!$N:$N,"&lt;&gt;Cancelled")</f>
        <v>380</v>
      </c>
      <c r="E24" s="11">
        <v>237</v>
      </c>
      <c r="F24" s="11">
        <f>SUMIFS(Initiatives!$J:$J,Initiatives!$B:$B,"&gt;="&amp;$A24,Initiatives!$B:$B,"&lt;="&amp;EOMONTH($A24,0),Initiatives!$N:$N,"&lt;&gt;Cancelled")</f>
        <v>324</v>
      </c>
      <c r="G24" s="16">
        <f>ROUND(AVERAGEIFS(Initiatives!$K:$K,Initiatives!$B:$B,"&gt;="&amp;$A24,Initiatives!$B:$B,"&lt;="&amp;EOMONTH($A24,0)),2)</f>
        <v>3.93</v>
      </c>
      <c r="H24" s="17">
        <f>ROUND(SUMIFS(Initiatives!$M:$M,Initiatives!$B:$B,"&gt;="&amp;$A24,Initiatives!$B:$B,"&lt;="&amp;EOMONTH($A24,0))/SUMIFS(Initiatives!$L:$L,Initiatives!$B:$B,"&gt;="&amp;$A24,Initiatives!$B:$B,"&lt;="&amp;EOMONTH($A24,0)),4)</f>
        <v>0.94869999999999999</v>
      </c>
      <c r="I24" s="11">
        <v>11000</v>
      </c>
    </row>
    <row r="25" spans="1:9">
      <c r="A25" s="15">
        <v>46266</v>
      </c>
      <c r="B25" s="11">
        <f>COUNTIFS(Initiatives!$B:$B,"&gt;="&amp;$A25,Initiatives!$B:$B,"&lt;="&amp;EOMONTH($A25,0),Initiatives!$N:$N,"&lt;&gt;Cancelled")</f>
        <v>15</v>
      </c>
      <c r="C25" s="11">
        <v>14</v>
      </c>
      <c r="D25" s="11">
        <f>SUMIFS(Initiatives!$I:$I,Initiatives!$B:$B,"&gt;="&amp;$A25,Initiatives!$B:$B,"&lt;="&amp;EOMONTH($A25,0),Initiatives!$N:$N,"&lt;&gt;Cancelled")</f>
        <v>717</v>
      </c>
      <c r="E25" s="11">
        <v>476</v>
      </c>
      <c r="F25" s="11">
        <f>SUMIFS(Initiatives!$J:$J,Initiatives!$B:$B,"&gt;="&amp;$A25,Initiatives!$B:$B,"&lt;="&amp;EOMONTH($A25,0),Initiatives!$N:$N,"&lt;&gt;Cancelled")</f>
        <v>714</v>
      </c>
      <c r="G25" s="16">
        <f>ROUND(AVERAGEIFS(Initiatives!$K:$K,Initiatives!$B:$B,"&gt;="&amp;$A25,Initiatives!$B:$B,"&lt;="&amp;EOMONTH($A25,0)),2)</f>
        <v>4.2300000000000004</v>
      </c>
      <c r="H25" s="17">
        <f>ROUND(SUMIFS(Initiatives!$M:$M,Initiatives!$B:$B,"&gt;="&amp;$A25,Initiatives!$B:$B,"&lt;="&amp;EOMONTH($A25,0))/SUMIFS(Initiatives!$L:$L,Initiatives!$B:$B,"&gt;="&amp;$A25,Initiatives!$B:$B,"&lt;="&amp;EOMONTH($A25,0)),4)</f>
        <v>0.90480000000000005</v>
      </c>
      <c r="I25" s="11">
        <v>42000</v>
      </c>
    </row>
  </sheetData>
  <pageMargins left="0.7" right="0.7" top="0.75" bottom="0.75" header="0.3" footer="0.3"/>
  <tableParts count="1">
    <tablePart r:id="rId1"/>
  </tableParts>
</worksheet>
</file>

<file path=docMetadata/LabelInfo.xml><?xml version="1.0" encoding="utf-8"?>
<clbl:labelList xmlns:clbl="http://schemas.microsoft.com/office/2020/mipLabelMetadata">
  <clbl:label id="{f42aa342-8706-4288-bd11-ebb85995028c}" enabled="1" method="Privilege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i:0#.f|membership|lootahmai@microsoft.com</cp:lastModifiedBy>
  <cp:revision/>
  <dcterms:created xsi:type="dcterms:W3CDTF">2026-09-16T12:10:52Z</dcterms:created>
  <dcterms:modified xsi:type="dcterms:W3CDTF">2026-09-16T12:13:04Z</dcterms:modified>
  <cp:category/>
  <cp:contentStatus/>
</cp:coreProperties>
</file>