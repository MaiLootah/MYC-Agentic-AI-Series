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mc:AlternateContent xmlns:mc="http://schemas.openxmlformats.org/markup-compatibility/2006">
    <mc:Choice Requires="x15">
      <x15ac:absPath xmlns:x15ac="http://schemas.microsoft.com/office/spreadsheetml/2010/11/ac" url="C:\Users\lootahmai\Downloads\OneDrive_1_10-29-2026\ENOC Youth Council\"/>
    </mc:Choice>
  </mc:AlternateContent>
  <xr:revisionPtr revIDLastSave="0" documentId="13_ncr:101_{2530ADC7-40AF-4BAC-9F8A-D2B1743EA03B}" xr6:coauthVersionLast="47" xr6:coauthVersionMax="47" xr10:uidLastSave="{00000000-0000-0000-0000-000000000000}"/>
  <bookViews>
    <workbookView xWindow="2805" yWindow="-16320" windowWidth="29040" windowHeight="15720" xr2:uid="{00000000-000D-0000-FFFF-FFFF00000000}"/>
  </bookViews>
  <sheets>
    <sheet name="About this file" sheetId="1" r:id="rId1"/>
    <sheet name="Insights Summary" sheetId="2" r:id="rId2"/>
    <sheet name="Initiatives" sheetId="3" r:id="rId3"/>
    <sheet name="Members" sheetId="4" r:id="rId4"/>
    <sheet name="Monthly KPIs" sheetId="5" r:id="rId5"/>
  </sheets>
  <definedNames>
    <definedName name="_xlnm._FilterDatabase" localSheetId="2" hidden="1">Initiatives!$A$1:$Q$345</definedName>
    <definedName name="_xlnm._FilterDatabase" localSheetId="3" hidden="1">Members!$A$1:$L$61</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H25" i="5" l="1"/>
  <c r="G25" i="5"/>
  <c r="F25" i="5"/>
  <c r="E25" i="5"/>
  <c r="D25" i="5"/>
  <c r="B25" i="5"/>
  <c r="H24" i="5"/>
  <c r="G24" i="5"/>
  <c r="F24" i="5"/>
  <c r="E24" i="5"/>
  <c r="D24" i="5"/>
  <c r="B24" i="5"/>
  <c r="H23" i="5"/>
  <c r="G23" i="5"/>
  <c r="F23" i="5"/>
  <c r="E23" i="5"/>
  <c r="D23" i="5"/>
  <c r="B23" i="5"/>
  <c r="H22" i="5"/>
  <c r="G22" i="5"/>
  <c r="F22" i="5"/>
  <c r="E22" i="5"/>
  <c r="D22" i="5"/>
  <c r="B22" i="5"/>
  <c r="H21" i="5"/>
  <c r="G21" i="5"/>
  <c r="F21" i="5"/>
  <c r="E21" i="5"/>
  <c r="D21" i="5"/>
  <c r="B21" i="5"/>
  <c r="H20" i="5"/>
  <c r="G20" i="5"/>
  <c r="F20" i="5"/>
  <c r="E20" i="5"/>
  <c r="D20" i="5"/>
  <c r="B20" i="5"/>
  <c r="H19" i="5"/>
  <c r="G19" i="5"/>
  <c r="F19" i="5"/>
  <c r="E19" i="5"/>
  <c r="D19" i="5"/>
  <c r="B19" i="5"/>
  <c r="H18" i="5"/>
  <c r="G18" i="5"/>
  <c r="F18" i="5"/>
  <c r="E18" i="5"/>
  <c r="D18" i="5"/>
  <c r="B18" i="5"/>
  <c r="H17" i="5"/>
  <c r="G17" i="5"/>
  <c r="F17" i="5"/>
  <c r="E17" i="5"/>
  <c r="D17" i="5"/>
  <c r="B17" i="5"/>
  <c r="H16" i="5"/>
  <c r="G16" i="5"/>
  <c r="F16" i="5"/>
  <c r="E16" i="5"/>
  <c r="D16" i="5"/>
  <c r="B16" i="5"/>
  <c r="H15" i="5"/>
  <c r="G15" i="5"/>
  <c r="F15" i="5"/>
  <c r="E15" i="5"/>
  <c r="D15" i="5"/>
  <c r="B15" i="5"/>
  <c r="H14" i="5"/>
  <c r="G14" i="5"/>
  <c r="F14" i="5"/>
  <c r="E14" i="5"/>
  <c r="D14" i="5"/>
  <c r="B14" i="5"/>
  <c r="H13" i="5"/>
  <c r="G13" i="5"/>
  <c r="F13" i="5"/>
  <c r="E13" i="5"/>
  <c r="D13" i="5"/>
  <c r="B13" i="5"/>
  <c r="H12" i="5"/>
  <c r="G12" i="5"/>
  <c r="F12" i="5"/>
  <c r="E12" i="5"/>
  <c r="D12" i="5"/>
  <c r="B12" i="5"/>
  <c r="H11" i="5"/>
  <c r="G11" i="5"/>
  <c r="F11" i="5"/>
  <c r="E11" i="5"/>
  <c r="D11" i="5"/>
  <c r="B11" i="5"/>
  <c r="H10" i="5"/>
  <c r="G10" i="5"/>
  <c r="F10" i="5"/>
  <c r="E10" i="5"/>
  <c r="D10" i="5"/>
  <c r="B10" i="5"/>
  <c r="H9" i="5"/>
  <c r="G9" i="5"/>
  <c r="F9" i="5"/>
  <c r="E9" i="5"/>
  <c r="D9" i="5"/>
  <c r="B9" i="5"/>
  <c r="H8" i="5"/>
  <c r="G8" i="5"/>
  <c r="F8" i="5"/>
  <c r="E8" i="5"/>
  <c r="D8" i="5"/>
  <c r="B8" i="5"/>
  <c r="H7" i="5"/>
  <c r="G7" i="5"/>
  <c r="F7" i="5"/>
  <c r="E7" i="5"/>
  <c r="D7" i="5"/>
  <c r="B7" i="5"/>
  <c r="H6" i="5"/>
  <c r="G6" i="5"/>
  <c r="F6" i="5"/>
  <c r="E6" i="5"/>
  <c r="D6" i="5"/>
  <c r="B6" i="5"/>
  <c r="H5" i="5"/>
  <c r="G5" i="5"/>
  <c r="F5" i="5"/>
  <c r="E5" i="5"/>
  <c r="D5" i="5"/>
  <c r="B5" i="5"/>
  <c r="H4" i="5"/>
  <c r="G4" i="5"/>
  <c r="F4" i="5"/>
  <c r="E4" i="5"/>
  <c r="D4" i="5"/>
  <c r="B4" i="5"/>
  <c r="H3" i="5"/>
  <c r="G3" i="5"/>
  <c r="F3" i="5"/>
  <c r="E3" i="5"/>
  <c r="D3" i="5"/>
  <c r="B3" i="5"/>
  <c r="H2" i="5"/>
  <c r="G2" i="5"/>
  <c r="F2" i="5"/>
  <c r="E2" i="5"/>
  <c r="D2" i="5"/>
  <c r="B2" i="5"/>
  <c r="G14" i="2"/>
  <c r="H14" i="2" s="1"/>
  <c r="F14" i="2"/>
  <c r="E14" i="2"/>
  <c r="C14" i="2"/>
  <c r="D14" i="2" s="1"/>
  <c r="B14" i="2"/>
  <c r="G13" i="2"/>
  <c r="H13" i="2" s="1"/>
  <c r="F13" i="2"/>
  <c r="E13" i="2"/>
  <c r="C13" i="2"/>
  <c r="D13" i="2" s="1"/>
  <c r="B13" i="2"/>
  <c r="H12" i="2"/>
  <c r="G12" i="2"/>
  <c r="F12" i="2"/>
  <c r="E12" i="2"/>
  <c r="C12" i="2"/>
  <c r="D12" i="2" s="1"/>
  <c r="B12" i="2"/>
  <c r="G11" i="2"/>
  <c r="H11" i="2" s="1"/>
  <c r="F11" i="2"/>
  <c r="E11" i="2"/>
  <c r="C11" i="2"/>
  <c r="D11" i="2" s="1"/>
  <c r="B11" i="2"/>
  <c r="G10" i="2"/>
  <c r="H10" i="2" s="1"/>
  <c r="F10" i="2"/>
  <c r="E10" i="2"/>
  <c r="C10" i="2"/>
  <c r="D10" i="2" s="1"/>
  <c r="B10" i="2"/>
  <c r="G9" i="2"/>
  <c r="H9" i="2" s="1"/>
  <c r="F9" i="2"/>
  <c r="E9" i="2"/>
  <c r="C9" i="2"/>
  <c r="D9" i="2" s="1"/>
  <c r="B9" i="2"/>
  <c r="I5" i="2"/>
  <c r="G5" i="2"/>
  <c r="E5" i="2"/>
  <c r="C5" i="2"/>
  <c r="A5" i="2"/>
</calcChain>
</file>

<file path=xl/sharedStrings.xml><?xml version="1.0" encoding="utf-8"?>
<sst xmlns="http://schemas.openxmlformats.org/spreadsheetml/2006/main" count="3882" uniqueCount="567">
  <si>
    <t>ENOC Youth Council — Activity Practice Data</t>
  </si>
  <si>
    <t>Synthetic 24-month record of Youth Council initiatives, members and monthly KPIs (Oct 2024 – Sep 2026), built for hands-on Copilot and Analyst practice.</t>
  </si>
  <si>
    <t>Illustrative synthetic data created for a Microsoft 365 Copilot practice session. This is NOT real ENOC data, it does not describe any real person, site or result, and it must not be used for any operational or reporting purpose.</t>
  </si>
  <si>
    <t>ENOC Youth Council × Microsoft Youth Council — Agentic AI Series hands-on session — 30 October 2026</t>
  </si>
  <si>
    <t>Sheet</t>
  </si>
  <si>
    <t>Rows</t>
  </si>
  <si>
    <t>Columns</t>
  </si>
  <si>
    <t>What it contains</t>
  </si>
  <si>
    <t>Insights Summary</t>
  </si>
  <si>
    <t>—</t>
  </si>
  <si>
    <t>Headline KPIs and a programme scorecard, calculated live from the Initiatives sheet.</t>
  </si>
  <si>
    <t>Initiatives</t>
  </si>
  <si>
    <t>One row per initiative: date, weekday, time band, programme, venue, registrations vs attendance, volunteer hours, satisfaction, budget vs spend, status and lead member.</t>
  </si>
  <si>
    <t>Members</t>
  </si>
  <si>
    <t>Anonymised council members (IDs only): business unit, site type, role, initiatives led and participated, volunteer, training and AI-learning hours.</t>
  </si>
  <si>
    <t>Monthly KPIs</t>
  </si>
  <si>
    <t>Month-by-month delivery against target, participants, volunteer hours, satisfaction and budget use (formulas).</t>
  </si>
  <si>
    <t>Good first questions to ask Copilot</t>
  </si>
  <si>
    <t>•  Which programme gives us the best return for the money — and which one quietly overspends?</t>
  </si>
  <si>
    <t>•  Does the time band or venue change how many registered people actually turn up?</t>
  </si>
  <si>
    <t>•  How dependent is the council on a small number of members?</t>
  </si>
  <si>
    <t>•  Check this file for data-quality problems before you trust any number in it.</t>
  </si>
  <si>
    <t>Youth Council Portfolio — Insights</t>
  </si>
  <si>
    <t>Calculated live from the Initiatives sheet (completed initiatives only).</t>
  </si>
  <si>
    <t>INITIATIVES COMPLETED</t>
  </si>
  <si>
    <t>PEOPLE ATTENDED</t>
  </si>
  <si>
    <t>ATTENDANCE RATE</t>
  </si>
  <si>
    <t>VOLUNTEER HOURS</t>
  </si>
  <si>
    <t>SPEND VS BUDGET</t>
  </si>
  <si>
    <t>Programme</t>
  </si>
  <si>
    <t>Attended</t>
  </si>
  <si>
    <t>Attendance rate</t>
  </si>
  <si>
    <t>Avg satisfaction</t>
  </si>
  <si>
    <t>Budget AED</t>
  </si>
  <si>
    <t>Spend AED</t>
  </si>
  <si>
    <t>Spend vs budget</t>
  </si>
  <si>
    <t>Energy Explorers</t>
  </si>
  <si>
    <t>Green Forecourt</t>
  </si>
  <si>
    <t>Safety Champions</t>
  </si>
  <si>
    <t>Youth Voice</t>
  </si>
  <si>
    <t>Innovation Lab</t>
  </si>
  <si>
    <t>Give Back</t>
  </si>
  <si>
    <t>Activity ID</t>
  </si>
  <si>
    <t>Date</t>
  </si>
  <si>
    <t>Weekday</t>
  </si>
  <si>
    <t>Time Band</t>
  </si>
  <si>
    <t>Initiative Name</t>
  </si>
  <si>
    <t>Category</t>
  </si>
  <si>
    <t>Emirate</t>
  </si>
  <si>
    <t>Venue</t>
  </si>
  <si>
    <t>Participants Registered</t>
  </si>
  <si>
    <t>Participants Attended</t>
  </si>
  <si>
    <t>Volunteer Hours</t>
  </si>
  <si>
    <t>Satisfaction Score</t>
  </si>
  <si>
    <t>Actual Spend AED</t>
  </si>
  <si>
    <t>Status</t>
  </si>
  <si>
    <t>Lead Member ID</t>
  </si>
  <si>
    <t>YC-0001</t>
  </si>
  <si>
    <t>Wednesday</t>
  </si>
  <si>
    <t>Weekend</t>
  </si>
  <si>
    <t>Blood Donation Drive</t>
  </si>
  <si>
    <t>Volunteering</t>
  </si>
  <si>
    <t>Dubai</t>
  </si>
  <si>
    <t>Service Station Network</t>
  </si>
  <si>
    <t>Completed</t>
  </si>
  <si>
    <t>ENOC-YC-003</t>
  </si>
  <si>
    <t>YC-0002</t>
  </si>
  <si>
    <t>After work</t>
  </si>
  <si>
    <t>Innovation Pitch Night</t>
  </si>
  <si>
    <t>Innovation</t>
  </si>
  <si>
    <t>Fujairah</t>
  </si>
  <si>
    <t>Partner School</t>
  </si>
  <si>
    <t>ENOC-YC-049</t>
  </si>
  <si>
    <t>YC-0003</t>
  </si>
  <si>
    <t>Thursday</t>
  </si>
  <si>
    <t>Lunchtime</t>
  </si>
  <si>
    <t>AI Ideas Hackathon</t>
  </si>
  <si>
    <t>Online</t>
  </si>
  <si>
    <t>Online (Teams)</t>
  </si>
  <si>
    <t>ENOC-YC-027</t>
  </si>
  <si>
    <t>YC-0004</t>
  </si>
  <si>
    <t>Saturday</t>
  </si>
  <si>
    <t>Pulse Survey Workshop</t>
  </si>
  <si>
    <t>Engagement</t>
  </si>
  <si>
    <t>Sharjah</t>
  </si>
  <si>
    <t>Community Venue</t>
  </si>
  <si>
    <t>ENOC-YC-008</t>
  </si>
  <si>
    <t>YC-0005</t>
  </si>
  <si>
    <t>Recycling Challenge at Stations</t>
  </si>
  <si>
    <t>Sustainability</t>
  </si>
  <si>
    <t>ENOC-YC-059</t>
  </si>
  <si>
    <t>YC-0006</t>
  </si>
  <si>
    <t>Senior Citizens Visit</t>
  </si>
  <si>
    <t>ENOC-YC-006</t>
  </si>
  <si>
    <t>YC-0007</t>
  </si>
  <si>
    <t>Design Thinking Sprint</t>
  </si>
  <si>
    <t>Cancelled</t>
  </si>
  <si>
    <t>ENOC-YC-031</t>
  </si>
  <si>
    <t>YC-0008</t>
  </si>
  <si>
    <t>Tuesday</t>
  </si>
  <si>
    <t>Fire Warden Refresher</t>
  </si>
  <si>
    <t>HSE awareness</t>
  </si>
  <si>
    <t>YC-0009</t>
  </si>
  <si>
    <t>Mangrove Planting Day</t>
  </si>
  <si>
    <t>Jebel Ali Site</t>
  </si>
  <si>
    <t>YC-0010</t>
  </si>
  <si>
    <t>YC-0011</t>
  </si>
  <si>
    <t>Summer STEM Camp Day</t>
  </si>
  <si>
    <t>STEM outreach</t>
  </si>
  <si>
    <t>YC-0012</t>
  </si>
  <si>
    <t>Refinery Science Day (virtual tour)</t>
  </si>
  <si>
    <t>ENOC-YC-002</t>
  </si>
  <si>
    <t>YC-0013</t>
  </si>
  <si>
    <t>Friday</t>
  </si>
  <si>
    <t>Reverse Mentoring Kick-off</t>
  </si>
  <si>
    <t>YC-0014</t>
  </si>
  <si>
    <t>Leadership Fireside Chat</t>
  </si>
  <si>
    <t>Head Office, Dubai</t>
  </si>
  <si>
    <t>ENOC-YC-005</t>
  </si>
  <si>
    <t>YC-0015</t>
  </si>
  <si>
    <t>Morning</t>
  </si>
  <si>
    <t>Safe Fuelling Awareness Day</t>
  </si>
  <si>
    <t>YC-0016</t>
  </si>
  <si>
    <t>Summer Heat Safety Toolbox Talk</t>
  </si>
  <si>
    <t>ENOC-YC-050</t>
  </si>
  <si>
    <t>YC-0017</t>
  </si>
  <si>
    <t>Beach Clean-up</t>
  </si>
  <si>
    <t>ENOC-YC-004</t>
  </si>
  <si>
    <t>YC-0018</t>
  </si>
  <si>
    <t>Copilot Prompt Challenge</t>
  </si>
  <si>
    <t>YC-0019</t>
  </si>
  <si>
    <t>YC-0020</t>
  </si>
  <si>
    <t>Earth Hour Office Switch-off</t>
  </si>
  <si>
    <t>ENOC-YC-012</t>
  </si>
  <si>
    <t>YC-0021</t>
  </si>
  <si>
    <t>YC-0022</t>
  </si>
  <si>
    <t>YC-0023</t>
  </si>
  <si>
    <t>ENOC-YC-007</t>
  </si>
  <si>
    <t>YC-0024</t>
  </si>
  <si>
    <t>Youth Town Hall</t>
  </si>
  <si>
    <t>ENOC-YC-020</t>
  </si>
  <si>
    <t>YC-0025</t>
  </si>
  <si>
    <t>ENOC-YC-001</t>
  </si>
  <si>
    <t>YC-0026</t>
  </si>
  <si>
    <t>YC-0027</t>
  </si>
  <si>
    <t>Sunday</t>
  </si>
  <si>
    <t>Umm Al Quwain</t>
  </si>
  <si>
    <t>YC-0028</t>
  </si>
  <si>
    <t>YC-0029</t>
  </si>
  <si>
    <t>YC-0030</t>
  </si>
  <si>
    <t>School Energy Lab Visit</t>
  </si>
  <si>
    <t>YC-0031</t>
  </si>
  <si>
    <t>Data Storytelling Workshop</t>
  </si>
  <si>
    <t>ENOC-YC-036</t>
  </si>
  <si>
    <t>YC-0032</t>
  </si>
  <si>
    <t>YC-0033</t>
  </si>
  <si>
    <t>Abu Dhabi</t>
  </si>
  <si>
    <t>YC-0034</t>
  </si>
  <si>
    <t>YC-0035</t>
  </si>
  <si>
    <t>ENOC-YC-030</t>
  </si>
  <si>
    <t>YC-0036</t>
  </si>
  <si>
    <t>University Careers Fair Booth</t>
  </si>
  <si>
    <t>YC-0037</t>
  </si>
  <si>
    <t>Coding for Girls in Energy</t>
  </si>
  <si>
    <t>YC-0038</t>
  </si>
  <si>
    <t>First Aid Basics Session</t>
  </si>
  <si>
    <t>YC-0039</t>
  </si>
  <si>
    <t>Ajman</t>
  </si>
  <si>
    <t>ENOC-YC-060</t>
  </si>
  <si>
    <t>YC-0040</t>
  </si>
  <si>
    <t>Monday</t>
  </si>
  <si>
    <t>YC-0041</t>
  </si>
  <si>
    <t>Used Cooking Oil Collection Drive</t>
  </si>
  <si>
    <t>YC-0042</t>
  </si>
  <si>
    <t>YC-0043</t>
  </si>
  <si>
    <t>YC-0044</t>
  </si>
  <si>
    <t>YC-0045</t>
  </si>
  <si>
    <t>New Joiners Meet-up</t>
  </si>
  <si>
    <t>YC-0046</t>
  </si>
  <si>
    <t>ENOC-YC-035</t>
  </si>
  <si>
    <t>YC-0047</t>
  </si>
  <si>
    <t>ENOC-YC-038</t>
  </si>
  <si>
    <t>YC-0048</t>
  </si>
  <si>
    <t>Ras Al Khaimah</t>
  </si>
  <si>
    <t>YC-0049</t>
  </si>
  <si>
    <t>ENOC-YC-009</t>
  </si>
  <si>
    <t>YC-0050</t>
  </si>
  <si>
    <t>YC-0051</t>
  </si>
  <si>
    <t>YC-0052</t>
  </si>
  <si>
    <t>ENOC-YC-051</t>
  </si>
  <si>
    <t>YC-0053</t>
  </si>
  <si>
    <t>YC-0054</t>
  </si>
  <si>
    <t>YC-0055</t>
  </si>
  <si>
    <t>YC-0056</t>
  </si>
  <si>
    <t>Near-Miss Reporting Drive</t>
  </si>
  <si>
    <t>YC-0057</t>
  </si>
  <si>
    <t>ENOC-YC-026</t>
  </si>
  <si>
    <t>YC-0058</t>
  </si>
  <si>
    <t>ENOC-YC-055</t>
  </si>
  <si>
    <t>YC-0059</t>
  </si>
  <si>
    <t>YC-0060</t>
  </si>
  <si>
    <t>YC-0061</t>
  </si>
  <si>
    <t>ENOC-YC-041</t>
  </si>
  <si>
    <t>YC-0062</t>
  </si>
  <si>
    <t>ENOC-YC-032</t>
  </si>
  <si>
    <t>YC-0063</t>
  </si>
  <si>
    <t>YC-0064</t>
  </si>
  <si>
    <t>Solar Canopy Awareness Day</t>
  </si>
  <si>
    <t>YC-0065</t>
  </si>
  <si>
    <t>YC-0066</t>
  </si>
  <si>
    <t>YC-0067</t>
  </si>
  <si>
    <t>YC-0068</t>
  </si>
  <si>
    <t>Ramadan Iftar Packing</t>
  </si>
  <si>
    <t>YC-0069</t>
  </si>
  <si>
    <t>YC-0070</t>
  </si>
  <si>
    <t>YC-0071</t>
  </si>
  <si>
    <t>YC-0072</t>
  </si>
  <si>
    <t>ENOC-YC-048</t>
  </si>
  <si>
    <t>YC-0073</t>
  </si>
  <si>
    <t>YC-0074</t>
  </si>
  <si>
    <t>YC-0075</t>
  </si>
  <si>
    <t>YC-0076</t>
  </si>
  <si>
    <t>YC-0077</t>
  </si>
  <si>
    <t>YC-0078</t>
  </si>
  <si>
    <t>ENOC-YC-029</t>
  </si>
  <si>
    <t>YC-0079</t>
  </si>
  <si>
    <t>YC-0080</t>
  </si>
  <si>
    <t>ENOC-YC-039</t>
  </si>
  <si>
    <t>YC-0081</t>
  </si>
  <si>
    <t>YC-0082</t>
  </si>
  <si>
    <t>YC-0083</t>
  </si>
  <si>
    <t>YC-0084</t>
  </si>
  <si>
    <t>YC-0085</t>
  </si>
  <si>
    <t>YC-0086</t>
  </si>
  <si>
    <t>ENOC-YC-011</t>
  </si>
  <si>
    <t>YC-0087</t>
  </si>
  <si>
    <t>YC-0088</t>
  </si>
  <si>
    <t>YC-0089</t>
  </si>
  <si>
    <t>YC-0090</t>
  </si>
  <si>
    <t>ENOC-YC-047</t>
  </si>
  <si>
    <t>YC-0091</t>
  </si>
  <si>
    <t>YC-0092</t>
  </si>
  <si>
    <t>YC-0093</t>
  </si>
  <si>
    <t>YC-0094</t>
  </si>
  <si>
    <t>YC-0095</t>
  </si>
  <si>
    <t>YC-0096</t>
  </si>
  <si>
    <t>YC-0097</t>
  </si>
  <si>
    <t>Young Engineers Workshop</t>
  </si>
  <si>
    <t>YC-0098</t>
  </si>
  <si>
    <t>ENOC-YC-054</t>
  </si>
  <si>
    <t>YC-0099</t>
  </si>
  <si>
    <t>YC-0100</t>
  </si>
  <si>
    <t>YC-0101</t>
  </si>
  <si>
    <t>ENOC-YC-010</t>
  </si>
  <si>
    <t>YC-0102</t>
  </si>
  <si>
    <t>YC-0103</t>
  </si>
  <si>
    <t>YC-0104</t>
  </si>
  <si>
    <t>YC-0105</t>
  </si>
  <si>
    <t>ENOC-YC-057</t>
  </si>
  <si>
    <t>YC-0106</t>
  </si>
  <si>
    <t>ENOC-YC-046</t>
  </si>
  <si>
    <t>YC-0107</t>
  </si>
  <si>
    <t>Road Safety Week Pledge</t>
  </si>
  <si>
    <t>YC-0108</t>
  </si>
  <si>
    <t>YC-0109</t>
  </si>
  <si>
    <t>YC-0110</t>
  </si>
  <si>
    <t>ENOC-YC-018</t>
  </si>
  <si>
    <t>YC-0111</t>
  </si>
  <si>
    <t>YC-0112</t>
  </si>
  <si>
    <t>YC-0113</t>
  </si>
  <si>
    <t>YC-0114</t>
  </si>
  <si>
    <t>ENOC-YC-022</t>
  </si>
  <si>
    <t>YC-0115</t>
  </si>
  <si>
    <t>UAE National Day Volunteering</t>
  </si>
  <si>
    <t>YC-0116</t>
  </si>
  <si>
    <t>YC-0117</t>
  </si>
  <si>
    <t>YC-0118</t>
  </si>
  <si>
    <t>ENOC-YC-044</t>
  </si>
  <si>
    <t>YC-0119</t>
  </si>
  <si>
    <t>YC-0120</t>
  </si>
  <si>
    <t>YC-0121</t>
  </si>
  <si>
    <t>YC-0122</t>
  </si>
  <si>
    <t>ENOC-YC-040</t>
  </si>
  <si>
    <t>YC-0123</t>
  </si>
  <si>
    <t>YC-0124</t>
  </si>
  <si>
    <t>YC-0125</t>
  </si>
  <si>
    <t>YC-0126</t>
  </si>
  <si>
    <t>ENOC-YC-023</t>
  </si>
  <si>
    <t>YC-0127</t>
  </si>
  <si>
    <t>ENOC-YC-042</t>
  </si>
  <si>
    <t>YC-0128</t>
  </si>
  <si>
    <t>YC-0129</t>
  </si>
  <si>
    <t>YC-0130</t>
  </si>
  <si>
    <t>YC-0131</t>
  </si>
  <si>
    <t>YC-0132</t>
  </si>
  <si>
    <t>YC-0133</t>
  </si>
  <si>
    <t>YC-0134</t>
  </si>
  <si>
    <t>YC-0135</t>
  </si>
  <si>
    <t>YC-0136</t>
  </si>
  <si>
    <t>YC-0137</t>
  </si>
  <si>
    <t>YC-0138</t>
  </si>
  <si>
    <t>YC-0139</t>
  </si>
  <si>
    <t>DXB</t>
  </si>
  <si>
    <t>YC-0140</t>
  </si>
  <si>
    <t>YC-0141</t>
  </si>
  <si>
    <t>School Supplies Drive</t>
  </si>
  <si>
    <t>YC-0142</t>
  </si>
  <si>
    <t>YC-0143</t>
  </si>
  <si>
    <t>ENOC-YC-043</t>
  </si>
  <si>
    <t>YC-0144</t>
  </si>
  <si>
    <t>YC-0145</t>
  </si>
  <si>
    <t>YC-0146</t>
  </si>
  <si>
    <t>YC-0147</t>
  </si>
  <si>
    <t>YC-0148</t>
  </si>
  <si>
    <t>YC-0149</t>
  </si>
  <si>
    <t>YC-0150</t>
  </si>
  <si>
    <t>YC-0151</t>
  </si>
  <si>
    <t>YC-0152</t>
  </si>
  <si>
    <t>YC-0153</t>
  </si>
  <si>
    <t>YC-0154</t>
  </si>
  <si>
    <t>YC-0155</t>
  </si>
  <si>
    <t>YC-0156</t>
  </si>
  <si>
    <t>YC-0157</t>
  </si>
  <si>
    <t>YC-0158</t>
  </si>
  <si>
    <t>YC-0159</t>
  </si>
  <si>
    <t>YC-0160</t>
  </si>
  <si>
    <t>YC-0161</t>
  </si>
  <si>
    <t>ENOC-YC-024</t>
  </si>
  <si>
    <t>YC-0162</t>
  </si>
  <si>
    <t>YC-0163</t>
  </si>
  <si>
    <t>YC-0164</t>
  </si>
  <si>
    <t>ENOC-YC-025</t>
  </si>
  <si>
    <t>YC-0165</t>
  </si>
  <si>
    <t>YC-0166</t>
  </si>
  <si>
    <t>YC-0167</t>
  </si>
  <si>
    <t>YC-0168</t>
  </si>
  <si>
    <t>YC-0169</t>
  </si>
  <si>
    <t>ENOC-YC-017</t>
  </si>
  <si>
    <t>YC-0170</t>
  </si>
  <si>
    <t>YC-0171</t>
  </si>
  <si>
    <t>YC-0172</t>
  </si>
  <si>
    <t>YC-0173</t>
  </si>
  <si>
    <t>YC-0174</t>
  </si>
  <si>
    <t>YC-0175</t>
  </si>
  <si>
    <t>YC-0176</t>
  </si>
  <si>
    <t>YC-0177</t>
  </si>
  <si>
    <t>YC-0178</t>
  </si>
  <si>
    <t>YC-0179</t>
  </si>
  <si>
    <t>YC-0180</t>
  </si>
  <si>
    <t>YC-0181</t>
  </si>
  <si>
    <t>YC-0182</t>
  </si>
  <si>
    <t>ENOC-YC-028</t>
  </si>
  <si>
    <t>YC-0183</t>
  </si>
  <si>
    <t>YC-0184</t>
  </si>
  <si>
    <t>YC-0185</t>
  </si>
  <si>
    <t>YC-0186</t>
  </si>
  <si>
    <t>YC-0187</t>
  </si>
  <si>
    <t>YC-0188</t>
  </si>
  <si>
    <t>YC-0189</t>
  </si>
  <si>
    <t>YC-0190</t>
  </si>
  <si>
    <t>YC-0191</t>
  </si>
  <si>
    <t>YC-0192</t>
  </si>
  <si>
    <t>YC-0193</t>
  </si>
  <si>
    <t>YC-0194</t>
  </si>
  <si>
    <t>YC-0195</t>
  </si>
  <si>
    <t>ENOC-YC-056</t>
  </si>
  <si>
    <t>YC-0196</t>
  </si>
  <si>
    <t>YC-0197</t>
  </si>
  <si>
    <t>YC-0198</t>
  </si>
  <si>
    <t>YC-0199</t>
  </si>
  <si>
    <t>YC-0200</t>
  </si>
  <si>
    <t>YC-0201</t>
  </si>
  <si>
    <t>YC-0202</t>
  </si>
  <si>
    <t>YC-0203</t>
  </si>
  <si>
    <t>YC-0204</t>
  </si>
  <si>
    <t>YC-0205</t>
  </si>
  <si>
    <t>ENOC-YC-058</t>
  </si>
  <si>
    <t>YC-0206</t>
  </si>
  <si>
    <t>dubai</t>
  </si>
  <si>
    <t>YC-0207</t>
  </si>
  <si>
    <t>YC-0208</t>
  </si>
  <si>
    <t>YC-0209</t>
  </si>
  <si>
    <t>YC-0210</t>
  </si>
  <si>
    <t>ENOC-YC-013</t>
  </si>
  <si>
    <t>YC-0211</t>
  </si>
  <si>
    <t>YC-0212</t>
  </si>
  <si>
    <t>YC-0213</t>
  </si>
  <si>
    <t>ENOC-YC-034</t>
  </si>
  <si>
    <t>YC-0214</t>
  </si>
  <si>
    <t>YC-0215</t>
  </si>
  <si>
    <t>ENOC-YC-052</t>
  </si>
  <si>
    <t>YC-0216</t>
  </si>
  <si>
    <t>YC-0217</t>
  </si>
  <si>
    <t>YC-0218</t>
  </si>
  <si>
    <t>YC-0219</t>
  </si>
  <si>
    <t>YC-0220</t>
  </si>
  <si>
    <t>YC-0221</t>
  </si>
  <si>
    <t>YC-0222</t>
  </si>
  <si>
    <t>YC-0223</t>
  </si>
  <si>
    <t>ENOC-YC-045</t>
  </si>
  <si>
    <t>YC-0224</t>
  </si>
  <si>
    <t>YC-0225</t>
  </si>
  <si>
    <t>YC-0226</t>
  </si>
  <si>
    <t>ENOC-YC-053</t>
  </si>
  <si>
    <t>YC-0227</t>
  </si>
  <si>
    <t>YC-0228</t>
  </si>
  <si>
    <t>YC-0229</t>
  </si>
  <si>
    <t>YC-0230</t>
  </si>
  <si>
    <t>YC-0231</t>
  </si>
  <si>
    <t>YC-0232</t>
  </si>
  <si>
    <t>YC-0233</t>
  </si>
  <si>
    <t>ENOC-YC-015</t>
  </si>
  <si>
    <t>YC-0234</t>
  </si>
  <si>
    <t>YC-0235</t>
  </si>
  <si>
    <t>YC-0236</t>
  </si>
  <si>
    <t>YC-0237</t>
  </si>
  <si>
    <t>YC-0238</t>
  </si>
  <si>
    <t>YC-0239</t>
  </si>
  <si>
    <t>YC-0240</t>
  </si>
  <si>
    <t>YC-0241</t>
  </si>
  <si>
    <t>YC-0242</t>
  </si>
  <si>
    <t>YC-0243</t>
  </si>
  <si>
    <t>YC-0244</t>
  </si>
  <si>
    <t>YC-0245</t>
  </si>
  <si>
    <t>YC-0246</t>
  </si>
  <si>
    <t>YC-0247</t>
  </si>
  <si>
    <t>YC-0248</t>
  </si>
  <si>
    <t>YC-0249</t>
  </si>
  <si>
    <t>YC-0250</t>
  </si>
  <si>
    <t>YC-0251</t>
  </si>
  <si>
    <t>YC-0252</t>
  </si>
  <si>
    <t>YC-0253</t>
  </si>
  <si>
    <t>YC-0254</t>
  </si>
  <si>
    <t>YC-0255</t>
  </si>
  <si>
    <t>ENOC-YC-019</t>
  </si>
  <si>
    <t>YC-0256</t>
  </si>
  <si>
    <t>YC-0257</t>
  </si>
  <si>
    <t>YC-0258</t>
  </si>
  <si>
    <t>YC-0259</t>
  </si>
  <si>
    <t>YC-0260</t>
  </si>
  <si>
    <t>YC-0261</t>
  </si>
  <si>
    <t>YC-0262</t>
  </si>
  <si>
    <t>YC-0263</t>
  </si>
  <si>
    <t>YC-0264</t>
  </si>
  <si>
    <t>YC-0265</t>
  </si>
  <si>
    <t>YC-0266</t>
  </si>
  <si>
    <t>YC-0267</t>
  </si>
  <si>
    <t>YC-0268</t>
  </si>
  <si>
    <t>YC-0269</t>
  </si>
  <si>
    <t>YC-0270</t>
  </si>
  <si>
    <t>YC-0271</t>
  </si>
  <si>
    <t>YC-0272</t>
  </si>
  <si>
    <t>YC-0273</t>
  </si>
  <si>
    <t>YC-0274</t>
  </si>
  <si>
    <t>YC-0275</t>
  </si>
  <si>
    <t>YC-0276</t>
  </si>
  <si>
    <t>YC-0277</t>
  </si>
  <si>
    <t>YC-0278</t>
  </si>
  <si>
    <t>YC-0279</t>
  </si>
  <si>
    <t>YC-0280</t>
  </si>
  <si>
    <t>YC-0281</t>
  </si>
  <si>
    <t>YC-0282</t>
  </si>
  <si>
    <t>YC-0283</t>
  </si>
  <si>
    <t>YC-0284</t>
  </si>
  <si>
    <t>YC-0285</t>
  </si>
  <si>
    <t>YC-0286</t>
  </si>
  <si>
    <t>ENOC-YC-014</t>
  </si>
  <si>
    <t>YC-0287</t>
  </si>
  <si>
    <t>YC-0288</t>
  </si>
  <si>
    <t>YC-0289</t>
  </si>
  <si>
    <t>YC-0290</t>
  </si>
  <si>
    <t>YC-0291</t>
  </si>
  <si>
    <t>YC-0292</t>
  </si>
  <si>
    <t>YC-0293</t>
  </si>
  <si>
    <t>YC-0294</t>
  </si>
  <si>
    <t>YC-0295</t>
  </si>
  <si>
    <t>YC-0296</t>
  </si>
  <si>
    <t>YC-0297</t>
  </si>
  <si>
    <t>YC-0298</t>
  </si>
  <si>
    <t>YC-0299</t>
  </si>
  <si>
    <t>YC-0300</t>
  </si>
  <si>
    <t>YC-0301</t>
  </si>
  <si>
    <t>YC-0302</t>
  </si>
  <si>
    <t>YC-0303</t>
  </si>
  <si>
    <t>YC-0304</t>
  </si>
  <si>
    <t>YC-0305</t>
  </si>
  <si>
    <t>YC-0306</t>
  </si>
  <si>
    <t>YC-0307</t>
  </si>
  <si>
    <t>YC-0308</t>
  </si>
  <si>
    <t>YC-0309</t>
  </si>
  <si>
    <t>YC-0310</t>
  </si>
  <si>
    <t>YC-0311</t>
  </si>
  <si>
    <t>YC-0312</t>
  </si>
  <si>
    <t>ENOC-YC-037</t>
  </si>
  <si>
    <t>YC-0313</t>
  </si>
  <si>
    <t>YC-0314</t>
  </si>
  <si>
    <t>YC-0315</t>
  </si>
  <si>
    <t>YC-0316</t>
  </si>
  <si>
    <t>YC-0317</t>
  </si>
  <si>
    <t>YC-0318</t>
  </si>
  <si>
    <t>YC-0319</t>
  </si>
  <si>
    <t>YC-0320</t>
  </si>
  <si>
    <t>YC-0321</t>
  </si>
  <si>
    <t>YC-0322</t>
  </si>
  <si>
    <t>YC-0323</t>
  </si>
  <si>
    <t>YC-0324</t>
  </si>
  <si>
    <t>YC-0325</t>
  </si>
  <si>
    <t>YC-0326</t>
  </si>
  <si>
    <t>YC-0327</t>
  </si>
  <si>
    <t>YC-0328</t>
  </si>
  <si>
    <t>YC-0329</t>
  </si>
  <si>
    <t>YC-0330</t>
  </si>
  <si>
    <t>YC-0331</t>
  </si>
  <si>
    <t>YC-0332</t>
  </si>
  <si>
    <t>YC-0333</t>
  </si>
  <si>
    <t>YC-0334</t>
  </si>
  <si>
    <t>YC-0335</t>
  </si>
  <si>
    <t>YC-0336</t>
  </si>
  <si>
    <t>YC-0337</t>
  </si>
  <si>
    <t>YC-0338</t>
  </si>
  <si>
    <t>YC-0339</t>
  </si>
  <si>
    <t>Scheduled</t>
  </si>
  <si>
    <t>YC-0340</t>
  </si>
  <si>
    <t>ENOC-YC-033</t>
  </si>
  <si>
    <t>YC-0341</t>
  </si>
  <si>
    <t>YC-0342</t>
  </si>
  <si>
    <t>YC-0343</t>
  </si>
  <si>
    <t>Member ID</t>
  </si>
  <si>
    <t>Join Date</t>
  </si>
  <si>
    <t>Business Unit</t>
  </si>
  <si>
    <t>Site Type</t>
  </si>
  <si>
    <t>Role</t>
  </si>
  <si>
    <t>Initiatives Led</t>
  </si>
  <si>
    <t>Initiatives Participated</t>
  </si>
  <si>
    <t>Volunteer Hours YTD</t>
  </si>
  <si>
    <t>Training Hours YTD</t>
  </si>
  <si>
    <t>AI Learning Hours YTD</t>
  </si>
  <si>
    <t>Active</t>
  </si>
  <si>
    <t>Aviation</t>
  </si>
  <si>
    <t>Plant / terminal</t>
  </si>
  <si>
    <t>Chair</t>
  </si>
  <si>
    <t>Yes</t>
  </si>
  <si>
    <t>Supply &amp; Trading</t>
  </si>
  <si>
    <t>Service station</t>
  </si>
  <si>
    <t>Committee Lead</t>
  </si>
  <si>
    <t>Finance</t>
  </si>
  <si>
    <t>Head office</t>
  </si>
  <si>
    <t>No</t>
  </si>
  <si>
    <t>HSE</t>
  </si>
  <si>
    <t>Human Capital</t>
  </si>
  <si>
    <t>Airport</t>
  </si>
  <si>
    <t>Group IT</t>
  </si>
  <si>
    <t>Member</t>
  </si>
  <si>
    <t>Engineering</t>
  </si>
  <si>
    <t>Lubricants</t>
  </si>
  <si>
    <t>ENOC-YC-016</t>
  </si>
  <si>
    <t>Retail (Service Stations)</t>
  </si>
  <si>
    <t>Refining</t>
  </si>
  <si>
    <t>Corporate Communications</t>
  </si>
  <si>
    <t>ENOC-YC-021</t>
  </si>
  <si>
    <t>Month</t>
  </si>
  <si>
    <t>Initiatives Delivered</t>
  </si>
  <si>
    <t>Target Initiatives</t>
  </si>
  <si>
    <t>Attendance Rate %</t>
  </si>
  <si>
    <t>Avg Satisfaction</t>
  </si>
  <si>
    <t>Budget Utilisation %</t>
  </si>
  <si>
    <t>Social Reach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</si>
</sst>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yy"/>
    <numFmt numFmtId="166" formatCode="0.0"/>
    <numFmt numFmtId="167" formatCode="mmm\ yyyy"/>
  </numFmts>
  <fonts count="12" x14ac:knownFonts="1">
    <font>
      <sz val="11"/>
      <color theme="1"/>
      <name val="Calibri"/>
      <family val="2"/>
      <charset val="1"/>
    </font>
    <font>
      <b/>
      <sz val="18"/>
      <color rgb="FF0B2545"/>
      <name val="Segoe UI"/>
      <charset val="1"/>
    </font>
    <font>
      <sz val="11"/>
      <color rgb="FF5C6472"/>
      <name val="Segoe UI"/>
      <charset val="1"/>
    </font>
    <font>
      <b/>
      <sz val="10"/>
      <color rgb="FFED2738"/>
      <name val="Segoe UI"/>
      <charset val="1"/>
    </font>
    <font>
      <i/>
      <sz val="10"/>
      <color rgb="FF5C6472"/>
      <name val="Segoe UI"/>
      <charset val="1"/>
    </font>
    <font>
      <b/>
      <sz val="10"/>
      <color rgb="FFFFFFFF"/>
      <name val="Segoe UI"/>
      <charset val="1"/>
    </font>
    <font>
      <sz val="10"/>
      <color rgb="FF141A22"/>
      <name val="Segoe UI"/>
      <charset val="1"/>
    </font>
    <font>
      <b/>
      <sz val="12"/>
      <color rgb="FF0B2545"/>
      <name val="Segoe UI"/>
      <charset val="1"/>
    </font>
    <font>
      <b/>
      <sz val="16"/>
      <color rgb="FF0B2545"/>
      <name val="Segoe UI"/>
      <charset val="1"/>
    </font>
    <font>
      <sz val="10"/>
      <color rgb="FF5C6472"/>
      <name val="Segoe UI"/>
      <charset val="1"/>
    </font>
    <font>
      <b/>
      <sz val="9"/>
      <color rgb="FF5C6472"/>
      <name val="Segoe UI"/>
      <charset val="1"/>
    </font>
    <font>
      <b/>
      <sz val="20"/>
      <color rgb="FF123E85"/>
      <name val="Segoe UI"/>
      <charset val="1"/>
    </font>
  </fonts>
  <fills count="4">
    <fill>
      <patternFill patternType="none"/>
    </fill>
    <fill>
      <patternFill patternType="gray125"/>
    </fill>
    <fill>
      <patternFill patternType="solid">
        <fgColor rgb="FF123E85"/>
        <bgColor rgb="FF0B2545"/>
      </patternFill>
    </fill>
    <fill>
      <patternFill patternType="solid">
        <fgColor rgb="FFEAF0F9"/>
        <bgColor rgb="FFFFFFFF"/>
      </patternFill>
    </fill>
  </fills>
  <borders count="1">
    <border>
      <left/>
      <right/>
      <top/>
      <bottom/>
      <diagonal/>
    </border>
  </borders>
  <cellStyleXfs count="1">
    <xf numFmtId="0" fontId="0" fillId="0" borderId="0"/>
  </cellStyleXfs>
  <cellXfs count="26">
    <xf numFmtId="0" fontId="0" fillId="0" borderId="0" xfId="0"/>
    <xf numFmtId="0" fontId="4" fillId="0" borderId="0" xfId="0" applyFont="1"/>
    <xf numFmtId="0" fontId="3" fillId="0" borderId="0" xfId="0" applyFont="1" applyAlignment="1">
      <alignment vertical="top" wrapText="1"/>
    </xf>
    <xf numFmtId="0" fontId="2" fillId="0" borderId="0" xfId="0" applyFont="1" applyAlignment="1">
      <alignment vertical="top" wrapText="1"/>
    </xf>
    <xf numFmtId="0" fontId="1" fillId="0" borderId="0" xfId="0" applyFont="1"/>
    <xf numFmtId="0" fontId="5" fillId="2" borderId="0" xfId="0" applyFont="1" applyFill="1"/>
    <xf numFmtId="0" fontId="6" fillId="0" borderId="0" xfId="0" applyFont="1" applyAlignment="1">
      <alignment vertical="top" wrapText="1"/>
    </xf>
    <xf numFmtId="0" fontId="7" fillId="0" borderId="0" xfId="0" applyFont="1"/>
    <xf numFmtId="0" fontId="6" fillId="0" borderId="0" xfId="0" applyFont="1"/>
    <xf numFmtId="0" fontId="8" fillId="0" borderId="0" xfId="0" applyFont="1"/>
    <xf numFmtId="0" fontId="9" fillId="0" borderId="0" xfId="0" applyFont="1"/>
    <xf numFmtId="0" fontId="10" fillId="0" borderId="0" xfId="0" applyFont="1"/>
    <xf numFmtId="3" fontId="11" fillId="0" borderId="0" xfId="0" applyNumberFormat="1" applyFont="1"/>
    <xf numFmtId="164" fontId="11" fillId="0" borderId="0" xfId="0" applyNumberFormat="1" applyFont="1"/>
    <xf numFmtId="0" fontId="5" fillId="2" borderId="0" xfId="0" applyFont="1" applyFill="1" applyAlignment="1">
      <alignment wrapText="1"/>
    </xf>
    <xf numFmtId="3" fontId="6" fillId="0" borderId="0" xfId="0" applyNumberFormat="1" applyFont="1"/>
    <xf numFmtId="164" fontId="6" fillId="0" borderId="0" xfId="0" applyNumberFormat="1" applyFont="1"/>
    <xf numFmtId="2" fontId="6" fillId="0" borderId="0" xfId="0" applyNumberFormat="1" applyFont="1"/>
    <xf numFmtId="0" fontId="6" fillId="3" borderId="0" xfId="0" applyFont="1" applyFill="1"/>
    <xf numFmtId="3" fontId="6" fillId="3" borderId="0" xfId="0" applyNumberFormat="1" applyFont="1" applyFill="1"/>
    <xf numFmtId="164" fontId="6" fillId="3" borderId="0" xfId="0" applyNumberFormat="1" applyFont="1" applyFill="1"/>
    <xf numFmtId="2" fontId="6" fillId="3" borderId="0" xfId="0" applyNumberFormat="1" applyFont="1" applyFill="1"/>
    <xf numFmtId="0" fontId="5" fillId="2" borderId="0" xfId="0" applyFont="1" applyFill="1" applyAlignment="1">
      <alignment vertical="center" wrapText="1"/>
    </xf>
    <xf numFmtId="165" fontId="6" fillId="0" borderId="0" xfId="0" applyNumberFormat="1" applyFont="1"/>
    <xf numFmtId="166" fontId="6" fillId="0" borderId="0" xfId="0" applyNumberFormat="1" applyFont="1"/>
    <xf numFmtId="167" fontId="6" fillId="0" borderId="0" xfId="0" applyNumberFormat="1" applyFont="1"/>
  </cellXfs>
  <cellStyles count="1">
    <cellStyle name="Normal" xfId="0" builtinId="0"/>
  </cellStyles>
  <dxfs count="0"/>
  <tableStyles count="0" defaultTableStyle="TableStyleMedium2" defaultPivotStyle="PivotStyleLight16"/>
  <colors>
    <indexedColors>
      <rgbColor rgb="FF000000"/>
      <rgbColor rgb="FFFFFFFF"/>
      <rgbColor rgb="FFED2738"/>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EAF0F9"/>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C6472"/>
      <rgbColor rgb="FF969696"/>
      <rgbColor rgb="FF0B2545"/>
      <rgbColor rgb="FF339966"/>
      <rgbColor rgb="FF141A22"/>
      <rgbColor rgb="FF333300"/>
      <rgbColor rgb="FF993300"/>
      <rgbColor rgb="FF993366"/>
      <rgbColor rgb="FF123E85"/>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16"/>
  <sheetViews>
    <sheetView showGridLines="0" tabSelected="1" zoomScaleNormal="100" workbookViewId="0">
      <selection sqref="A1:D1"/>
    </sheetView>
  </sheetViews>
  <sheetFormatPr defaultColWidth="8.6328125" defaultRowHeight="14.5" x14ac:dyDescent="0.35"/>
  <cols>
    <col min="1" max="1" width="26" customWidth="1"/>
    <col min="2" max="3" width="10" customWidth="1"/>
    <col min="4" max="4" width="95" customWidth="1"/>
  </cols>
  <sheetData>
    <row r="1" spans="1:4" ht="26" x14ac:dyDescent="0.65">
      <c r="A1" s="4" t="s">
        <v>0</v>
      </c>
      <c r="B1" s="4"/>
      <c r="C1" s="4"/>
      <c r="D1" s="4"/>
    </row>
    <row r="2" spans="1:4" ht="30" customHeight="1" x14ac:dyDescent="0.35">
      <c r="A2" s="3" t="s">
        <v>1</v>
      </c>
      <c r="B2" s="3"/>
      <c r="C2" s="3"/>
      <c r="D2" s="3"/>
    </row>
    <row r="3" spans="1:4" ht="30" customHeight="1" x14ac:dyDescent="0.35">
      <c r="A3" s="2" t="s">
        <v>2</v>
      </c>
      <c r="B3" s="2"/>
      <c r="C3" s="2"/>
      <c r="D3" s="2"/>
    </row>
    <row r="4" spans="1:4" ht="16" x14ac:dyDescent="0.45">
      <c r="A4" s="1" t="s">
        <v>3</v>
      </c>
      <c r="B4" s="1"/>
      <c r="C4" s="1"/>
      <c r="D4" s="1"/>
    </row>
    <row r="6" spans="1:4" ht="16" x14ac:dyDescent="0.45">
      <c r="A6" s="5" t="s">
        <v>4</v>
      </c>
      <c r="B6" s="5" t="s">
        <v>5</v>
      </c>
      <c r="C6" s="5" t="s">
        <v>6</v>
      </c>
      <c r="D6" s="5" t="s">
        <v>7</v>
      </c>
    </row>
    <row r="7" spans="1:4" ht="16" x14ac:dyDescent="0.35">
      <c r="A7" s="6" t="s">
        <v>8</v>
      </c>
      <c r="B7" s="6" t="s">
        <v>9</v>
      </c>
      <c r="C7" s="6" t="s">
        <v>9</v>
      </c>
      <c r="D7" s="6" t="s">
        <v>10</v>
      </c>
    </row>
    <row r="8" spans="1:4" ht="32" x14ac:dyDescent="0.35">
      <c r="A8" s="6" t="s">
        <v>11</v>
      </c>
      <c r="B8" s="6">
        <v>344</v>
      </c>
      <c r="C8" s="6">
        <v>17</v>
      </c>
      <c r="D8" s="6" t="s">
        <v>12</v>
      </c>
    </row>
    <row r="9" spans="1:4" ht="32" x14ac:dyDescent="0.35">
      <c r="A9" s="6" t="s">
        <v>13</v>
      </c>
      <c r="B9" s="6">
        <v>60</v>
      </c>
      <c r="C9" s="6">
        <v>12</v>
      </c>
      <c r="D9" s="6" t="s">
        <v>14</v>
      </c>
    </row>
    <row r="10" spans="1:4" ht="16" x14ac:dyDescent="0.35">
      <c r="A10" s="6" t="s">
        <v>15</v>
      </c>
      <c r="B10" s="6">
        <v>24</v>
      </c>
      <c r="C10" s="6">
        <v>9</v>
      </c>
      <c r="D10" s="6" t="s">
        <v>16</v>
      </c>
    </row>
    <row r="12" spans="1:4" ht="17.5" x14ac:dyDescent="0.45">
      <c r="A12" s="7" t="s">
        <v>17</v>
      </c>
    </row>
    <row r="13" spans="1:4" ht="16" x14ac:dyDescent="0.45">
      <c r="A13" s="8" t="s">
        <v>18</v>
      </c>
    </row>
    <row r="14" spans="1:4" ht="16" x14ac:dyDescent="0.45">
      <c r="A14" s="8" t="s">
        <v>19</v>
      </c>
    </row>
    <row r="15" spans="1:4" ht="16" x14ac:dyDescent="0.45">
      <c r="A15" s="8" t="s">
        <v>20</v>
      </c>
    </row>
    <row r="16" spans="1:4" ht="16" x14ac:dyDescent="0.45">
      <c r="A16" s="8" t="s">
        <v>21</v>
      </c>
    </row>
  </sheetData>
  <mergeCells count="4">
    <mergeCell ref="A1:D1"/>
    <mergeCell ref="A2:D2"/>
    <mergeCell ref="A3:D3"/>
    <mergeCell ref="A4:D4"/>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4"/>
  <sheetViews>
    <sheetView showGridLines="0" zoomScaleNormal="100" workbookViewId="0"/>
  </sheetViews>
  <sheetFormatPr defaultColWidth="8.6328125" defaultRowHeight="14.5" x14ac:dyDescent="0.35"/>
  <cols>
    <col min="1" max="1" width="22" customWidth="1"/>
    <col min="2" max="11" width="15" customWidth="1"/>
  </cols>
  <sheetData>
    <row r="1" spans="1:9" ht="25" x14ac:dyDescent="0.7">
      <c r="A1" s="9" t="s">
        <v>22</v>
      </c>
    </row>
    <row r="2" spans="1:9" ht="16" x14ac:dyDescent="0.45">
      <c r="A2" s="10" t="s">
        <v>23</v>
      </c>
    </row>
    <row r="4" spans="1:9" ht="15" x14ac:dyDescent="0.4">
      <c r="A4" s="11" t="s">
        <v>24</v>
      </c>
      <c r="C4" s="11" t="s">
        <v>25</v>
      </c>
      <c r="E4" s="11" t="s">
        <v>26</v>
      </c>
      <c r="G4" s="11" t="s">
        <v>27</v>
      </c>
      <c r="I4" s="11" t="s">
        <v>28</v>
      </c>
    </row>
    <row r="5" spans="1:9" ht="29" x14ac:dyDescent="0.75">
      <c r="A5" s="12">
        <f>COUNTIF(Initiatives!P:P,"Completed")</f>
        <v>326</v>
      </c>
      <c r="C5" s="12">
        <f>SUMIFS(Initiatives!K:K,Initiatives!P:P,"Completed")</f>
        <v>27734</v>
      </c>
      <c r="E5" s="13">
        <f>SUMIFS(Initiatives!K:K,Initiatives!P:P,"Completed")/SUMIFS(Initiatives!J:J,Initiatives!P:P,"Completed")</f>
        <v>0.6846886880955908</v>
      </c>
      <c r="G5" s="12">
        <f>SUMIFS(Initiatives!L:L,Initiatives!P:P,"Completed")</f>
        <v>23104</v>
      </c>
      <c r="I5" s="13">
        <f>SUMIFS(Initiatives!O:O,Initiatives!P:P,"Completed")/SUMIFS(Initiatives!N:N,Initiatives!P:P,"Completed")</f>
        <v>0.97165591538688234</v>
      </c>
    </row>
    <row r="8" spans="1:9" ht="32" x14ac:dyDescent="0.45">
      <c r="A8" s="14" t="s">
        <v>29</v>
      </c>
      <c r="B8" s="14" t="s">
        <v>11</v>
      </c>
      <c r="C8" s="14" t="s">
        <v>30</v>
      </c>
      <c r="D8" s="14" t="s">
        <v>31</v>
      </c>
      <c r="E8" s="14" t="s">
        <v>32</v>
      </c>
      <c r="F8" s="14" t="s">
        <v>33</v>
      </c>
      <c r="G8" s="14" t="s">
        <v>34</v>
      </c>
      <c r="H8" s="14" t="s">
        <v>35</v>
      </c>
    </row>
    <row r="9" spans="1:9" ht="16" x14ac:dyDescent="0.45">
      <c r="A9" s="8" t="s">
        <v>36</v>
      </c>
      <c r="B9" s="8">
        <f>COUNTIFS(Initiatives!$F:$F,$A9,Initiatives!$P:$P,"Completed")</f>
        <v>61</v>
      </c>
      <c r="C9" s="15">
        <f>SUMIFS(Initiatives!$K:$K,Initiatives!$F:$F,$A9,Initiatives!$P:$P,"Completed")</f>
        <v>5426</v>
      </c>
      <c r="D9" s="16">
        <f>C9/SUMIFS(Initiatives!$J:$J,Initiatives!$F:$F,$A9,Initiatives!$P:$P,"Completed")</f>
        <v>0.6746238965560114</v>
      </c>
      <c r="E9" s="17">
        <f>ROUND(AVERAGEIFS(Initiatives!$M:$M,Initiatives!$F:$F,$A9,Initiatives!$P:$P,"Completed"),2)</f>
        <v>4.46</v>
      </c>
      <c r="F9" s="15">
        <f>SUMIFS(Initiatives!$N:$N,Initiatives!$F:$F,$A9,Initiatives!$P:$P,"Completed")</f>
        <v>3039000</v>
      </c>
      <c r="G9" s="15">
        <f>SUMIFS(Initiatives!$O:$O,Initiatives!$F:$F,$A9,Initiatives!$P:$P,"Completed")</f>
        <v>3561500</v>
      </c>
      <c r="H9" s="16">
        <f t="shared" ref="H9:H14" si="0">G9/F9</f>
        <v>1.1719315564330373</v>
      </c>
    </row>
    <row r="10" spans="1:9" ht="16" x14ac:dyDescent="0.45">
      <c r="A10" s="18" t="s">
        <v>37</v>
      </c>
      <c r="B10" s="18">
        <f>COUNTIFS(Initiatives!$F:$F,$A10,Initiatives!$P:$P,"Completed")</f>
        <v>59</v>
      </c>
      <c r="C10" s="19">
        <f>SUMIFS(Initiatives!$K:$K,Initiatives!$F:$F,$A10,Initiatives!$P:$P,"Completed")</f>
        <v>5222</v>
      </c>
      <c r="D10" s="20">
        <f>C10/SUMIFS(Initiatives!$J:$J,Initiatives!$F:$F,$A10,Initiatives!$P:$P,"Completed")</f>
        <v>0.72892238972640988</v>
      </c>
      <c r="E10" s="21">
        <f>ROUND(AVERAGEIFS(Initiatives!$M:$M,Initiatives!$F:$F,$A10,Initiatives!$P:$P,"Completed"),2)</f>
        <v>4.05</v>
      </c>
      <c r="F10" s="19">
        <f>SUMIFS(Initiatives!$N:$N,Initiatives!$F:$F,$A10,Initiatives!$P:$P,"Completed")</f>
        <v>2913000</v>
      </c>
      <c r="G10" s="19">
        <f>SUMIFS(Initiatives!$O:$O,Initiatives!$F:$F,$A10,Initiatives!$P:$P,"Completed")</f>
        <v>2664400</v>
      </c>
      <c r="H10" s="20">
        <f t="shared" si="0"/>
        <v>0.91465842773772743</v>
      </c>
    </row>
    <row r="11" spans="1:9" ht="16" x14ac:dyDescent="0.45">
      <c r="A11" s="8" t="s">
        <v>38</v>
      </c>
      <c r="B11" s="8">
        <f>COUNTIFS(Initiatives!$F:$F,$A11,Initiatives!$P:$P,"Completed")</f>
        <v>57</v>
      </c>
      <c r="C11" s="15">
        <f>SUMIFS(Initiatives!$K:$K,Initiatives!$F:$F,$A11,Initiatives!$P:$P,"Completed")</f>
        <v>4031</v>
      </c>
      <c r="D11" s="16">
        <f>C11/SUMIFS(Initiatives!$J:$J,Initiatives!$F:$F,$A11,Initiatives!$P:$P,"Completed")</f>
        <v>0.68729752770673491</v>
      </c>
      <c r="E11" s="17">
        <f>ROUND(AVERAGEIFS(Initiatives!$M:$M,Initiatives!$F:$F,$A11,Initiatives!$P:$P,"Completed"),2)</f>
        <v>4.07</v>
      </c>
      <c r="F11" s="15">
        <f>SUMIFS(Initiatives!$N:$N,Initiatives!$F:$F,$A11,Initiatives!$P:$P,"Completed")</f>
        <v>2619500</v>
      </c>
      <c r="G11" s="15">
        <f>SUMIFS(Initiatives!$O:$O,Initiatives!$F:$F,$A11,Initiatives!$P:$P,"Completed")</f>
        <v>2430100</v>
      </c>
      <c r="H11" s="16">
        <f t="shared" si="0"/>
        <v>0.92769612521473566</v>
      </c>
    </row>
    <row r="12" spans="1:9" ht="16" x14ac:dyDescent="0.45">
      <c r="A12" s="18" t="s">
        <v>39</v>
      </c>
      <c r="B12" s="18">
        <f>COUNTIFS(Initiatives!$F:$F,$A12,Initiatives!$P:$P,"Completed")</f>
        <v>59</v>
      </c>
      <c r="C12" s="19">
        <f>SUMIFS(Initiatives!$K:$K,Initiatives!$F:$F,$A12,Initiatives!$P:$P,"Completed")</f>
        <v>4784</v>
      </c>
      <c r="D12" s="20">
        <f>C12/SUMIFS(Initiatives!$J:$J,Initiatives!$F:$F,$A12,Initiatives!$P:$P,"Completed")</f>
        <v>0.74044265593561365</v>
      </c>
      <c r="E12" s="21">
        <f>ROUND(AVERAGEIFS(Initiatives!$M:$M,Initiatives!$F:$F,$A12,Initiatives!$P:$P,"Completed"),2)</f>
        <v>4.0999999999999996</v>
      </c>
      <c r="F12" s="19">
        <f>SUMIFS(Initiatives!$N:$N,Initiatives!$F:$F,$A12,Initiatives!$P:$P,"Completed")</f>
        <v>2559500</v>
      </c>
      <c r="G12" s="19">
        <f>SUMIFS(Initiatives!$O:$O,Initiatives!$F:$F,$A12,Initiatives!$P:$P,"Completed")</f>
        <v>2346900</v>
      </c>
      <c r="H12" s="20">
        <f t="shared" si="0"/>
        <v>0.91693690173862086</v>
      </c>
    </row>
    <row r="13" spans="1:9" ht="16" x14ac:dyDescent="0.45">
      <c r="A13" s="8" t="s">
        <v>40</v>
      </c>
      <c r="B13" s="8">
        <f>COUNTIFS(Initiatives!$F:$F,$A13,Initiatives!$P:$P,"Completed")</f>
        <v>51</v>
      </c>
      <c r="C13" s="15">
        <f>SUMIFS(Initiatives!$K:$K,Initiatives!$F:$F,$A13,Initiatives!$P:$P,"Completed")</f>
        <v>5121</v>
      </c>
      <c r="D13" s="16">
        <f>C13/SUMIFS(Initiatives!$J:$J,Initiatives!$F:$F,$A13,Initiatives!$P:$P,"Completed")</f>
        <v>0.60056291779054771</v>
      </c>
      <c r="E13" s="17">
        <f>ROUND(AVERAGEIFS(Initiatives!$M:$M,Initiatives!$F:$F,$A13,Initiatives!$P:$P,"Completed"),2)</f>
        <v>3.88</v>
      </c>
      <c r="F13" s="15">
        <f>SUMIFS(Initiatives!$N:$N,Initiatives!$F:$F,$A13,Initiatives!$P:$P,"Completed")</f>
        <v>2474000</v>
      </c>
      <c r="G13" s="15">
        <f>SUMIFS(Initiatives!$O:$O,Initiatives!$F:$F,$A13,Initiatives!$P:$P,"Completed")</f>
        <v>2272200</v>
      </c>
      <c r="H13" s="16">
        <f t="shared" si="0"/>
        <v>0.91843168957154409</v>
      </c>
    </row>
    <row r="14" spans="1:9" ht="16" x14ac:dyDescent="0.45">
      <c r="A14" s="18" t="s">
        <v>41</v>
      </c>
      <c r="B14" s="18">
        <f>COUNTIFS(Initiatives!$F:$F,$A14,Initiatives!$P:$P,"Completed")</f>
        <v>39</v>
      </c>
      <c r="C14" s="19">
        <f>SUMIFS(Initiatives!$K:$K,Initiatives!$F:$F,$A14,Initiatives!$P:$P,"Completed")</f>
        <v>3150</v>
      </c>
      <c r="D14" s="20">
        <f>C14/SUMIFS(Initiatives!$J:$J,Initiatives!$F:$F,$A14,Initiatives!$P:$P,"Completed")</f>
        <v>0.708502024291498</v>
      </c>
      <c r="E14" s="21">
        <f>ROUND(AVERAGEIFS(Initiatives!$M:$M,Initiatives!$F:$F,$A14,Initiatives!$P:$P,"Completed"),2)</f>
        <v>4</v>
      </c>
      <c r="F14" s="19">
        <f>SUMIFS(Initiatives!$N:$N,Initiatives!$F:$F,$A14,Initiatives!$P:$P,"Completed")</f>
        <v>1664500</v>
      </c>
      <c r="G14" s="19">
        <f>SUMIFS(Initiatives!$O:$O,Initiatives!$F:$F,$A14,Initiatives!$P:$P,"Completed")</f>
        <v>1561600</v>
      </c>
      <c r="H14" s="20">
        <f t="shared" si="0"/>
        <v>0.93817963352358069</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Q345"/>
  <sheetViews>
    <sheetView zoomScaleNormal="100" workbookViewId="0">
      <pane ySplit="1" topLeftCell="A2" activePane="bottomLeft" state="frozen"/>
      <selection pane="bottomLeft"/>
    </sheetView>
  </sheetViews>
  <sheetFormatPr defaultColWidth="8.6328125" defaultRowHeight="14.5" x14ac:dyDescent="0.35"/>
  <cols>
    <col min="1" max="1" width="15" customWidth="1"/>
    <col min="2" max="2" width="12" customWidth="1"/>
    <col min="3" max="3" width="11" customWidth="1"/>
    <col min="4" max="4" width="13" customWidth="1"/>
    <col min="5" max="5" width="34" customWidth="1"/>
    <col min="6" max="6" width="18" customWidth="1"/>
    <col min="7" max="7" width="16" customWidth="1"/>
    <col min="8" max="8" width="11" customWidth="1"/>
    <col min="9" max="9" width="24" customWidth="1"/>
    <col min="10" max="10" width="27" customWidth="1"/>
    <col min="11" max="11" width="25" customWidth="1"/>
    <col min="12" max="12" width="19" customWidth="1"/>
    <col min="13" max="13" width="22" customWidth="1"/>
    <col min="14" max="14" width="14" customWidth="1"/>
    <col min="15" max="15" width="20" customWidth="1"/>
    <col min="16" max="16" width="10" customWidth="1"/>
    <col min="17" max="17" width="15" customWidth="1"/>
  </cols>
  <sheetData>
    <row r="1" spans="1:17" ht="30" customHeight="1" x14ac:dyDescent="0.35">
      <c r="A1" s="22" t="s">
        <v>42</v>
      </c>
      <c r="B1" s="22" t="s">
        <v>43</v>
      </c>
      <c r="C1" s="22" t="s">
        <v>44</v>
      </c>
      <c r="D1" s="22" t="s">
        <v>45</v>
      </c>
      <c r="E1" s="22" t="s">
        <v>46</v>
      </c>
      <c r="F1" s="22" t="s">
        <v>29</v>
      </c>
      <c r="G1" s="22" t="s">
        <v>47</v>
      </c>
      <c r="H1" s="22" t="s">
        <v>48</v>
      </c>
      <c r="I1" s="22" t="s">
        <v>49</v>
      </c>
      <c r="J1" s="22" t="s">
        <v>50</v>
      </c>
      <c r="K1" s="22" t="s">
        <v>51</v>
      </c>
      <c r="L1" s="22" t="s">
        <v>52</v>
      </c>
      <c r="M1" s="22" t="s">
        <v>53</v>
      </c>
      <c r="N1" s="22" t="s">
        <v>33</v>
      </c>
      <c r="O1" s="22" t="s">
        <v>54</v>
      </c>
      <c r="P1" s="22" t="s">
        <v>55</v>
      </c>
      <c r="Q1" s="22" t="s">
        <v>56</v>
      </c>
    </row>
    <row r="2" spans="1:17" ht="16" x14ac:dyDescent="0.45">
      <c r="A2" s="8" t="s">
        <v>57</v>
      </c>
      <c r="B2" s="23">
        <v>45567</v>
      </c>
      <c r="C2" s="8" t="s">
        <v>58</v>
      </c>
      <c r="D2" s="8" t="s">
        <v>59</v>
      </c>
      <c r="E2" s="8" t="s">
        <v>60</v>
      </c>
      <c r="F2" s="8" t="s">
        <v>41</v>
      </c>
      <c r="G2" s="8" t="s">
        <v>61</v>
      </c>
      <c r="H2" s="8" t="s">
        <v>62</v>
      </c>
      <c r="I2" s="8" t="s">
        <v>63</v>
      </c>
      <c r="J2" s="8">
        <v>121</v>
      </c>
      <c r="K2" s="8">
        <v>70</v>
      </c>
      <c r="L2" s="8">
        <v>100</v>
      </c>
      <c r="M2" s="24">
        <v>3.5</v>
      </c>
      <c r="N2" s="15">
        <v>74500</v>
      </c>
      <c r="O2" s="15">
        <v>73000</v>
      </c>
      <c r="P2" s="8" t="s">
        <v>64</v>
      </c>
      <c r="Q2" s="8" t="s">
        <v>65</v>
      </c>
    </row>
    <row r="3" spans="1:17" ht="16" x14ac:dyDescent="0.45">
      <c r="A3" s="8" t="s">
        <v>66</v>
      </c>
      <c r="B3" s="23">
        <v>45567</v>
      </c>
      <c r="C3" s="8" t="s">
        <v>58</v>
      </c>
      <c r="D3" s="8" t="s">
        <v>67</v>
      </c>
      <c r="E3" s="8" t="s">
        <v>68</v>
      </c>
      <c r="F3" s="8" t="s">
        <v>40</v>
      </c>
      <c r="G3" s="8" t="s">
        <v>69</v>
      </c>
      <c r="H3" s="8" t="s">
        <v>70</v>
      </c>
      <c r="I3" s="8" t="s">
        <v>71</v>
      </c>
      <c r="J3" s="8">
        <v>162</v>
      </c>
      <c r="K3" s="8">
        <v>145</v>
      </c>
      <c r="L3" s="8">
        <v>118</v>
      </c>
      <c r="M3" s="24"/>
      <c r="N3" s="15">
        <v>80000</v>
      </c>
      <c r="O3" s="15">
        <v>76400</v>
      </c>
      <c r="P3" s="8" t="s">
        <v>64</v>
      </c>
      <c r="Q3" s="8" t="s">
        <v>72</v>
      </c>
    </row>
    <row r="4" spans="1:17" ht="16" x14ac:dyDescent="0.45">
      <c r="A4" s="8" t="s">
        <v>73</v>
      </c>
      <c r="B4" s="23">
        <v>45568</v>
      </c>
      <c r="C4" s="8" t="s">
        <v>74</v>
      </c>
      <c r="D4" s="8" t="s">
        <v>75</v>
      </c>
      <c r="E4" s="8" t="s">
        <v>76</v>
      </c>
      <c r="F4" s="8" t="s">
        <v>40</v>
      </c>
      <c r="G4" s="8" t="s">
        <v>69</v>
      </c>
      <c r="H4" s="8" t="s">
        <v>77</v>
      </c>
      <c r="I4" s="8" t="s">
        <v>78</v>
      </c>
      <c r="J4" s="8">
        <v>302</v>
      </c>
      <c r="K4" s="8">
        <v>160</v>
      </c>
      <c r="L4" s="8">
        <v>88</v>
      </c>
      <c r="M4" s="24">
        <v>3.9</v>
      </c>
      <c r="N4" s="15">
        <v>25500</v>
      </c>
      <c r="O4" s="15">
        <v>23500</v>
      </c>
      <c r="P4" s="8" t="s">
        <v>64</v>
      </c>
      <c r="Q4" s="8" t="s">
        <v>79</v>
      </c>
    </row>
    <row r="5" spans="1:17" ht="16" x14ac:dyDescent="0.45">
      <c r="A5" s="8" t="s">
        <v>80</v>
      </c>
      <c r="B5" s="23">
        <v>45570</v>
      </c>
      <c r="C5" s="8" t="s">
        <v>81</v>
      </c>
      <c r="D5" s="8" t="s">
        <v>59</v>
      </c>
      <c r="E5" s="8" t="s">
        <v>82</v>
      </c>
      <c r="F5" s="8" t="s">
        <v>39</v>
      </c>
      <c r="G5" s="8" t="s">
        <v>83</v>
      </c>
      <c r="H5" s="8" t="s">
        <v>84</v>
      </c>
      <c r="I5" s="8" t="s">
        <v>85</v>
      </c>
      <c r="J5" s="8">
        <v>158</v>
      </c>
      <c r="K5" s="8">
        <v>118</v>
      </c>
      <c r="L5" s="8">
        <v>51</v>
      </c>
      <c r="M5" s="24">
        <v>4.5</v>
      </c>
      <c r="N5" s="15">
        <v>21000</v>
      </c>
      <c r="O5" s="15">
        <v>19600</v>
      </c>
      <c r="P5" s="8" t="s">
        <v>64</v>
      </c>
      <c r="Q5" s="8" t="s">
        <v>86</v>
      </c>
    </row>
    <row r="6" spans="1:17" ht="16" x14ac:dyDescent="0.45">
      <c r="A6" s="8" t="s">
        <v>87</v>
      </c>
      <c r="B6" s="23">
        <v>45575</v>
      </c>
      <c r="C6" s="8" t="s">
        <v>74</v>
      </c>
      <c r="D6" s="8" t="s">
        <v>75</v>
      </c>
      <c r="E6" s="8" t="s">
        <v>88</v>
      </c>
      <c r="F6" s="8" t="s">
        <v>37</v>
      </c>
      <c r="G6" s="8" t="s">
        <v>89</v>
      </c>
      <c r="H6" s="8" t="s">
        <v>84</v>
      </c>
      <c r="I6" s="8" t="s">
        <v>63</v>
      </c>
      <c r="J6" s="8">
        <v>79</v>
      </c>
      <c r="K6" s="8">
        <v>50</v>
      </c>
      <c r="L6" s="8">
        <v>110</v>
      </c>
      <c r="M6" s="24">
        <v>4.2</v>
      </c>
      <c r="N6" s="15">
        <v>87000</v>
      </c>
      <c r="O6" s="15">
        <v>74700</v>
      </c>
      <c r="P6" s="8" t="s">
        <v>64</v>
      </c>
      <c r="Q6" s="8" t="s">
        <v>90</v>
      </c>
    </row>
    <row r="7" spans="1:17" ht="16" x14ac:dyDescent="0.45">
      <c r="A7" s="8" t="s">
        <v>91</v>
      </c>
      <c r="B7" s="23">
        <v>45575</v>
      </c>
      <c r="C7" s="8" t="s">
        <v>74</v>
      </c>
      <c r="D7" s="8" t="s">
        <v>75</v>
      </c>
      <c r="E7" s="8" t="s">
        <v>92</v>
      </c>
      <c r="F7" s="8" t="s">
        <v>41</v>
      </c>
      <c r="G7" s="8" t="s">
        <v>61</v>
      </c>
      <c r="H7" s="8" t="s">
        <v>62</v>
      </c>
      <c r="I7" s="8" t="s">
        <v>63</v>
      </c>
      <c r="J7" s="8">
        <v>65</v>
      </c>
      <c r="K7" s="8">
        <v>60</v>
      </c>
      <c r="L7" s="8">
        <v>139</v>
      </c>
      <c r="M7" s="24">
        <v>3.9</v>
      </c>
      <c r="N7" s="15">
        <v>32000</v>
      </c>
      <c r="O7" s="15">
        <v>29000</v>
      </c>
      <c r="P7" s="8" t="s">
        <v>64</v>
      </c>
      <c r="Q7" s="8" t="s">
        <v>93</v>
      </c>
    </row>
    <row r="8" spans="1:17" ht="16" x14ac:dyDescent="0.45">
      <c r="A8" s="8" t="s">
        <v>94</v>
      </c>
      <c r="B8" s="23">
        <v>45584</v>
      </c>
      <c r="C8" s="8" t="s">
        <v>81</v>
      </c>
      <c r="D8" s="8" t="s">
        <v>59</v>
      </c>
      <c r="E8" s="8" t="s">
        <v>95</v>
      </c>
      <c r="F8" s="8" t="s">
        <v>40</v>
      </c>
      <c r="G8" s="8" t="s">
        <v>69</v>
      </c>
      <c r="H8" s="8" t="s">
        <v>77</v>
      </c>
      <c r="I8" s="8" t="s">
        <v>78</v>
      </c>
      <c r="J8" s="8">
        <v>312</v>
      </c>
      <c r="K8" s="8">
        <v>41</v>
      </c>
      <c r="L8" s="8">
        <v>0</v>
      </c>
      <c r="M8" s="24"/>
      <c r="N8" s="15">
        <v>50500</v>
      </c>
      <c r="O8" s="15">
        <v>5050</v>
      </c>
      <c r="P8" s="8" t="s">
        <v>96</v>
      </c>
      <c r="Q8" s="8" t="s">
        <v>97</v>
      </c>
    </row>
    <row r="9" spans="1:17" ht="16" x14ac:dyDescent="0.45">
      <c r="A9" s="8" t="s">
        <v>98</v>
      </c>
      <c r="B9" s="23">
        <v>45587</v>
      </c>
      <c r="C9" s="8" t="s">
        <v>99</v>
      </c>
      <c r="D9" s="8" t="s">
        <v>67</v>
      </c>
      <c r="E9" s="8" t="s">
        <v>100</v>
      </c>
      <c r="F9" s="8" t="s">
        <v>38</v>
      </c>
      <c r="G9" s="8" t="s">
        <v>101</v>
      </c>
      <c r="H9" s="8" t="s">
        <v>62</v>
      </c>
      <c r="I9" s="8" t="s">
        <v>85</v>
      </c>
      <c r="J9" s="8">
        <v>112</v>
      </c>
      <c r="K9" s="8">
        <v>97</v>
      </c>
      <c r="L9" s="8">
        <v>19</v>
      </c>
      <c r="M9" s="24">
        <v>4.0999999999999996</v>
      </c>
      <c r="N9" s="15">
        <v>53500</v>
      </c>
      <c r="O9" s="15">
        <v>43000</v>
      </c>
      <c r="P9" s="8" t="s">
        <v>64</v>
      </c>
      <c r="Q9" s="8" t="s">
        <v>86</v>
      </c>
    </row>
    <row r="10" spans="1:17" ht="16" x14ac:dyDescent="0.45">
      <c r="A10" s="8" t="s">
        <v>102</v>
      </c>
      <c r="B10" s="23">
        <v>45587</v>
      </c>
      <c r="C10" s="8" t="s">
        <v>99</v>
      </c>
      <c r="D10" s="8" t="s">
        <v>67</v>
      </c>
      <c r="E10" s="8" t="s">
        <v>103</v>
      </c>
      <c r="F10" s="8" t="s">
        <v>37</v>
      </c>
      <c r="G10" s="8" t="s">
        <v>89</v>
      </c>
      <c r="H10" s="8" t="s">
        <v>62</v>
      </c>
      <c r="I10" s="8" t="s">
        <v>104</v>
      </c>
      <c r="J10" s="8">
        <v>148</v>
      </c>
      <c r="K10" s="8">
        <v>0</v>
      </c>
      <c r="L10" s="8">
        <v>0</v>
      </c>
      <c r="M10" s="24"/>
      <c r="N10" s="15">
        <v>20000</v>
      </c>
      <c r="O10" s="15">
        <v>2000</v>
      </c>
      <c r="P10" s="8" t="s">
        <v>96</v>
      </c>
      <c r="Q10" s="8" t="s">
        <v>93</v>
      </c>
    </row>
    <row r="11" spans="1:17" ht="16" x14ac:dyDescent="0.45">
      <c r="A11" s="8" t="s">
        <v>105</v>
      </c>
      <c r="B11" s="23">
        <v>45594</v>
      </c>
      <c r="C11" s="8" t="s">
        <v>99</v>
      </c>
      <c r="D11" s="8" t="s">
        <v>75</v>
      </c>
      <c r="E11" s="8" t="s">
        <v>88</v>
      </c>
      <c r="F11" s="8" t="s">
        <v>37</v>
      </c>
      <c r="G11" s="8" t="s">
        <v>89</v>
      </c>
      <c r="H11" s="8" t="s">
        <v>62</v>
      </c>
      <c r="I11" s="8" t="s">
        <v>104</v>
      </c>
      <c r="J11" s="8">
        <v>178</v>
      </c>
      <c r="K11" s="8">
        <v>142</v>
      </c>
      <c r="L11" s="8">
        <v>299</v>
      </c>
      <c r="M11" s="24">
        <v>4.2</v>
      </c>
      <c r="N11" s="15">
        <v>36000</v>
      </c>
      <c r="O11" s="15">
        <v>34300</v>
      </c>
      <c r="P11" s="8" t="s">
        <v>64</v>
      </c>
      <c r="Q11" s="8" t="s">
        <v>65</v>
      </c>
    </row>
    <row r="12" spans="1:17" ht="16" x14ac:dyDescent="0.45">
      <c r="A12" s="8" t="s">
        <v>106</v>
      </c>
      <c r="B12" s="23">
        <v>45595</v>
      </c>
      <c r="C12" s="8" t="s">
        <v>58</v>
      </c>
      <c r="D12" s="8" t="s">
        <v>67</v>
      </c>
      <c r="E12" s="8" t="s">
        <v>107</v>
      </c>
      <c r="F12" s="8" t="s">
        <v>36</v>
      </c>
      <c r="G12" s="8" t="s">
        <v>108</v>
      </c>
      <c r="H12" s="8" t="s">
        <v>77</v>
      </c>
      <c r="I12" s="8" t="s">
        <v>78</v>
      </c>
      <c r="J12" s="8">
        <v>303</v>
      </c>
      <c r="K12" s="8">
        <v>162</v>
      </c>
      <c r="L12" s="8">
        <v>86</v>
      </c>
      <c r="M12" s="24">
        <v>4.5999999999999996</v>
      </c>
      <c r="N12" s="15">
        <v>20500</v>
      </c>
      <c r="O12" s="15">
        <v>21700</v>
      </c>
      <c r="P12" s="8" t="s">
        <v>64</v>
      </c>
      <c r="Q12" s="8" t="s">
        <v>97</v>
      </c>
    </row>
    <row r="13" spans="1:17" ht="16" x14ac:dyDescent="0.45">
      <c r="A13" s="8" t="s">
        <v>109</v>
      </c>
      <c r="B13" s="23">
        <v>45595</v>
      </c>
      <c r="C13" s="8" t="s">
        <v>58</v>
      </c>
      <c r="D13" s="8" t="s">
        <v>75</v>
      </c>
      <c r="E13" s="8" t="s">
        <v>110</v>
      </c>
      <c r="F13" s="8" t="s">
        <v>36</v>
      </c>
      <c r="G13" s="8" t="s">
        <v>108</v>
      </c>
      <c r="H13" s="8" t="s">
        <v>62</v>
      </c>
      <c r="I13" s="8" t="s">
        <v>104</v>
      </c>
      <c r="J13" s="8">
        <v>175</v>
      </c>
      <c r="K13" s="8">
        <v>145</v>
      </c>
      <c r="L13" s="8">
        <v>29</v>
      </c>
      <c r="M13" s="24">
        <v>4.9000000000000004</v>
      </c>
      <c r="N13" s="15">
        <v>40500</v>
      </c>
      <c r="O13" s="15">
        <v>50800</v>
      </c>
      <c r="P13" s="8" t="s">
        <v>64</v>
      </c>
      <c r="Q13" s="8" t="s">
        <v>111</v>
      </c>
    </row>
    <row r="14" spans="1:17" ht="16" x14ac:dyDescent="0.45">
      <c r="A14" s="8" t="s">
        <v>112</v>
      </c>
      <c r="B14" s="23">
        <v>45597</v>
      </c>
      <c r="C14" s="8" t="s">
        <v>113</v>
      </c>
      <c r="D14" s="8" t="s">
        <v>75</v>
      </c>
      <c r="E14" s="8" t="s">
        <v>114</v>
      </c>
      <c r="F14" s="8" t="s">
        <v>39</v>
      </c>
      <c r="G14" s="8" t="s">
        <v>83</v>
      </c>
      <c r="H14" s="8" t="s">
        <v>62</v>
      </c>
      <c r="I14" s="8" t="s">
        <v>71</v>
      </c>
      <c r="J14" s="8">
        <v>42</v>
      </c>
      <c r="K14" s="8">
        <v>34</v>
      </c>
      <c r="L14" s="8">
        <v>6</v>
      </c>
      <c r="M14" s="24">
        <v>4.4000000000000004</v>
      </c>
      <c r="N14" s="15">
        <v>21500</v>
      </c>
      <c r="O14" s="15">
        <v>19400</v>
      </c>
      <c r="P14" s="8" t="s">
        <v>64</v>
      </c>
      <c r="Q14" s="8" t="s">
        <v>86</v>
      </c>
    </row>
    <row r="15" spans="1:17" ht="16" x14ac:dyDescent="0.45">
      <c r="A15" s="8" t="s">
        <v>115</v>
      </c>
      <c r="B15" s="23">
        <v>45598</v>
      </c>
      <c r="C15" s="8" t="s">
        <v>81</v>
      </c>
      <c r="D15" s="8" t="s">
        <v>59</v>
      </c>
      <c r="E15" s="8" t="s">
        <v>116</v>
      </c>
      <c r="F15" s="8" t="s">
        <v>39</v>
      </c>
      <c r="G15" s="8" t="s">
        <v>83</v>
      </c>
      <c r="H15" s="8" t="s">
        <v>62</v>
      </c>
      <c r="I15" s="8" t="s">
        <v>117</v>
      </c>
      <c r="J15" s="8">
        <v>53</v>
      </c>
      <c r="K15" s="8">
        <v>38</v>
      </c>
      <c r="L15" s="8">
        <v>32</v>
      </c>
      <c r="M15" s="24">
        <v>4.2</v>
      </c>
      <c r="N15" s="15">
        <v>22000</v>
      </c>
      <c r="O15" s="15">
        <v>18800</v>
      </c>
      <c r="P15" s="8" t="s">
        <v>64</v>
      </c>
      <c r="Q15" s="8" t="s">
        <v>118</v>
      </c>
    </row>
    <row r="16" spans="1:17" ht="16" x14ac:dyDescent="0.45">
      <c r="A16" s="8" t="s">
        <v>119</v>
      </c>
      <c r="B16" s="23">
        <v>45601</v>
      </c>
      <c r="C16" s="8" t="s">
        <v>99</v>
      </c>
      <c r="D16" s="8" t="s">
        <v>120</v>
      </c>
      <c r="E16" s="8" t="s">
        <v>121</v>
      </c>
      <c r="F16" s="8" t="s">
        <v>38</v>
      </c>
      <c r="G16" s="8" t="s">
        <v>101</v>
      </c>
      <c r="H16" s="8" t="s">
        <v>62</v>
      </c>
      <c r="I16" s="8" t="s">
        <v>117</v>
      </c>
      <c r="J16" s="8">
        <v>71</v>
      </c>
      <c r="K16" s="8">
        <v>52</v>
      </c>
      <c r="L16" s="8">
        <v>27</v>
      </c>
      <c r="M16" s="24">
        <v>4.0999999999999996</v>
      </c>
      <c r="N16" s="15">
        <v>51500</v>
      </c>
      <c r="O16" s="15">
        <v>48100</v>
      </c>
      <c r="P16" s="8" t="s">
        <v>64</v>
      </c>
      <c r="Q16" s="8" t="s">
        <v>65</v>
      </c>
    </row>
    <row r="17" spans="1:17" ht="16" x14ac:dyDescent="0.45">
      <c r="A17" s="8" t="s">
        <v>122</v>
      </c>
      <c r="B17" s="23">
        <v>45602</v>
      </c>
      <c r="C17" s="8" t="s">
        <v>58</v>
      </c>
      <c r="D17" s="8" t="s">
        <v>120</v>
      </c>
      <c r="E17" s="8" t="s">
        <v>123</v>
      </c>
      <c r="F17" s="8" t="s">
        <v>38</v>
      </c>
      <c r="G17" s="8" t="s">
        <v>101</v>
      </c>
      <c r="H17" s="8" t="s">
        <v>62</v>
      </c>
      <c r="I17" s="8" t="s">
        <v>117</v>
      </c>
      <c r="J17" s="8">
        <v>61</v>
      </c>
      <c r="K17" s="8">
        <v>43</v>
      </c>
      <c r="L17" s="8">
        <v>9</v>
      </c>
      <c r="M17" s="24">
        <v>4</v>
      </c>
      <c r="N17" s="15">
        <v>70500</v>
      </c>
      <c r="O17" s="15">
        <v>72000</v>
      </c>
      <c r="P17" s="8" t="s">
        <v>64</v>
      </c>
      <c r="Q17" s="8" t="s">
        <v>124</v>
      </c>
    </row>
    <row r="18" spans="1:17" ht="16" x14ac:dyDescent="0.45">
      <c r="A18" s="8" t="s">
        <v>125</v>
      </c>
      <c r="B18" s="23">
        <v>45602</v>
      </c>
      <c r="C18" s="8" t="s">
        <v>58</v>
      </c>
      <c r="D18" s="8" t="s">
        <v>75</v>
      </c>
      <c r="E18" s="8" t="s">
        <v>126</v>
      </c>
      <c r="F18" s="8" t="s">
        <v>37</v>
      </c>
      <c r="G18" s="8" t="s">
        <v>89</v>
      </c>
      <c r="H18" s="8" t="s">
        <v>62</v>
      </c>
      <c r="I18" s="8" t="s">
        <v>85</v>
      </c>
      <c r="J18" s="8">
        <v>43</v>
      </c>
      <c r="K18" s="8">
        <v>30</v>
      </c>
      <c r="L18" s="8">
        <v>35</v>
      </c>
      <c r="M18" s="24">
        <v>3.8</v>
      </c>
      <c r="N18" s="15">
        <v>12500</v>
      </c>
      <c r="O18" s="15">
        <v>12900</v>
      </c>
      <c r="P18" s="8" t="s">
        <v>64</v>
      </c>
      <c r="Q18" s="8" t="s">
        <v>127</v>
      </c>
    </row>
    <row r="19" spans="1:17" ht="16" x14ac:dyDescent="0.45">
      <c r="A19" s="8" t="s">
        <v>128</v>
      </c>
      <c r="B19" s="23">
        <v>45603</v>
      </c>
      <c r="C19" s="8" t="s">
        <v>74</v>
      </c>
      <c r="D19" s="8" t="s">
        <v>75</v>
      </c>
      <c r="E19" s="8" t="s">
        <v>129</v>
      </c>
      <c r="F19" s="8" t="s">
        <v>40</v>
      </c>
      <c r="G19" s="8" t="s">
        <v>69</v>
      </c>
      <c r="H19" s="8" t="s">
        <v>77</v>
      </c>
      <c r="I19" s="8" t="s">
        <v>78</v>
      </c>
      <c r="J19" s="8">
        <v>315</v>
      </c>
      <c r="K19" s="8">
        <v>147</v>
      </c>
      <c r="L19" s="8">
        <v>117</v>
      </c>
      <c r="M19" s="24">
        <v>3.7</v>
      </c>
      <c r="N19" s="15">
        <v>34500</v>
      </c>
      <c r="O19" s="15">
        <v>32200</v>
      </c>
      <c r="P19" s="8" t="s">
        <v>64</v>
      </c>
      <c r="Q19" s="8" t="s">
        <v>65</v>
      </c>
    </row>
    <row r="20" spans="1:17" ht="16" x14ac:dyDescent="0.45">
      <c r="A20" s="8" t="s">
        <v>130</v>
      </c>
      <c r="B20" s="23">
        <v>45604</v>
      </c>
      <c r="C20" s="8" t="s">
        <v>113</v>
      </c>
      <c r="D20" s="8" t="s">
        <v>67</v>
      </c>
      <c r="E20" s="8" t="s">
        <v>129</v>
      </c>
      <c r="F20" s="8" t="s">
        <v>40</v>
      </c>
      <c r="G20" s="8" t="s">
        <v>69</v>
      </c>
      <c r="H20" s="8" t="s">
        <v>77</v>
      </c>
      <c r="I20" s="8" t="s">
        <v>78</v>
      </c>
      <c r="J20" s="8">
        <v>270</v>
      </c>
      <c r="K20" s="8">
        <v>136</v>
      </c>
      <c r="L20" s="8">
        <v>75</v>
      </c>
      <c r="M20" s="24">
        <v>3.3</v>
      </c>
      <c r="N20" s="15">
        <v>78500</v>
      </c>
      <c r="O20" s="15">
        <v>78700</v>
      </c>
      <c r="P20" s="8" t="s">
        <v>64</v>
      </c>
      <c r="Q20" s="8" t="s">
        <v>118</v>
      </c>
    </row>
    <row r="21" spans="1:17" ht="16" x14ac:dyDescent="0.45">
      <c r="A21" s="8" t="s">
        <v>131</v>
      </c>
      <c r="B21" s="23">
        <v>45608</v>
      </c>
      <c r="C21" s="8" t="s">
        <v>99</v>
      </c>
      <c r="D21" s="8" t="s">
        <v>59</v>
      </c>
      <c r="E21" s="8" t="s">
        <v>132</v>
      </c>
      <c r="F21" s="8" t="s">
        <v>37</v>
      </c>
      <c r="G21" s="8" t="s">
        <v>89</v>
      </c>
      <c r="H21" s="8" t="s">
        <v>84</v>
      </c>
      <c r="I21" s="8" t="s">
        <v>71</v>
      </c>
      <c r="J21" s="8">
        <v>66</v>
      </c>
      <c r="K21" s="8">
        <v>48</v>
      </c>
      <c r="L21" s="8">
        <v>78</v>
      </c>
      <c r="M21" s="24">
        <v>4</v>
      </c>
      <c r="N21" s="15">
        <v>89000</v>
      </c>
      <c r="O21" s="15">
        <v>80400</v>
      </c>
      <c r="P21" s="8" t="s">
        <v>64</v>
      </c>
      <c r="Q21" s="8" t="s">
        <v>133</v>
      </c>
    </row>
    <row r="22" spans="1:17" ht="16" x14ac:dyDescent="0.45">
      <c r="A22" s="8" t="s">
        <v>134</v>
      </c>
      <c r="B22" s="23">
        <v>45609</v>
      </c>
      <c r="C22" s="8" t="s">
        <v>58</v>
      </c>
      <c r="D22" s="8" t="s">
        <v>75</v>
      </c>
      <c r="E22" s="8" t="s">
        <v>121</v>
      </c>
      <c r="F22" s="8" t="s">
        <v>38</v>
      </c>
      <c r="G22" s="8" t="s">
        <v>101</v>
      </c>
      <c r="H22" s="8" t="s">
        <v>62</v>
      </c>
      <c r="I22" s="8" t="s">
        <v>71</v>
      </c>
      <c r="J22" s="8">
        <v>40</v>
      </c>
      <c r="K22" s="8">
        <v>31</v>
      </c>
      <c r="L22" s="8">
        <v>8</v>
      </c>
      <c r="M22" s="24">
        <v>3.8</v>
      </c>
      <c r="N22" s="15">
        <v>28500</v>
      </c>
      <c r="O22" s="15">
        <v>25800</v>
      </c>
      <c r="P22" s="8" t="s">
        <v>64</v>
      </c>
      <c r="Q22" s="8" t="s">
        <v>118</v>
      </c>
    </row>
    <row r="23" spans="1:17" ht="16" x14ac:dyDescent="0.45">
      <c r="A23" s="8" t="s">
        <v>135</v>
      </c>
      <c r="B23" s="23">
        <v>45609</v>
      </c>
      <c r="C23" s="8" t="s">
        <v>58</v>
      </c>
      <c r="D23" s="8" t="s">
        <v>75</v>
      </c>
      <c r="E23" s="8" t="s">
        <v>92</v>
      </c>
      <c r="F23" s="8" t="s">
        <v>41</v>
      </c>
      <c r="G23" s="8" t="s">
        <v>61</v>
      </c>
      <c r="H23" s="8" t="s">
        <v>62</v>
      </c>
      <c r="I23" s="8" t="s">
        <v>117</v>
      </c>
      <c r="J23" s="8">
        <v>135</v>
      </c>
      <c r="K23" s="8">
        <v>105</v>
      </c>
      <c r="L23" s="8">
        <v>113</v>
      </c>
      <c r="M23" s="24">
        <v>4</v>
      </c>
      <c r="N23" s="15">
        <v>54000</v>
      </c>
      <c r="O23" s="15">
        <v>54200</v>
      </c>
      <c r="P23" s="8" t="s">
        <v>64</v>
      </c>
      <c r="Q23" s="8" t="s">
        <v>111</v>
      </c>
    </row>
    <row r="24" spans="1:17" ht="16" x14ac:dyDescent="0.45">
      <c r="A24" s="8" t="s">
        <v>136</v>
      </c>
      <c r="B24" s="23">
        <v>45610</v>
      </c>
      <c r="C24" s="8" t="s">
        <v>74</v>
      </c>
      <c r="D24" s="8" t="s">
        <v>67</v>
      </c>
      <c r="E24" s="8" t="s">
        <v>107</v>
      </c>
      <c r="F24" s="8" t="s">
        <v>36</v>
      </c>
      <c r="G24" s="8" t="s">
        <v>108</v>
      </c>
      <c r="H24" s="8" t="s">
        <v>62</v>
      </c>
      <c r="I24" s="8" t="s">
        <v>104</v>
      </c>
      <c r="J24" s="8">
        <v>121</v>
      </c>
      <c r="K24" s="8">
        <v>119</v>
      </c>
      <c r="L24" s="8">
        <v>89</v>
      </c>
      <c r="M24" s="24">
        <v>4.4000000000000004</v>
      </c>
      <c r="N24" s="15">
        <v>65500</v>
      </c>
      <c r="O24" s="15">
        <v>73100</v>
      </c>
      <c r="P24" s="8" t="s">
        <v>64</v>
      </c>
      <c r="Q24" s="8" t="s">
        <v>137</v>
      </c>
    </row>
    <row r="25" spans="1:17" ht="16" x14ac:dyDescent="0.45">
      <c r="A25" s="8" t="s">
        <v>138</v>
      </c>
      <c r="B25" s="23">
        <v>45610</v>
      </c>
      <c r="C25" s="8" t="s">
        <v>74</v>
      </c>
      <c r="D25" s="8" t="s">
        <v>59</v>
      </c>
      <c r="E25" s="8" t="s">
        <v>139</v>
      </c>
      <c r="F25" s="8" t="s">
        <v>39</v>
      </c>
      <c r="G25" s="8" t="s">
        <v>83</v>
      </c>
      <c r="H25" s="8" t="s">
        <v>84</v>
      </c>
      <c r="I25" s="8" t="s">
        <v>71</v>
      </c>
      <c r="J25" s="8">
        <v>94</v>
      </c>
      <c r="K25" s="8">
        <v>56</v>
      </c>
      <c r="L25" s="8">
        <v>27</v>
      </c>
      <c r="M25" s="24">
        <v>3.9</v>
      </c>
      <c r="N25" s="15">
        <v>36500</v>
      </c>
      <c r="O25" s="15">
        <v>37400</v>
      </c>
      <c r="P25" s="8" t="s">
        <v>64</v>
      </c>
      <c r="Q25" s="8" t="s">
        <v>140</v>
      </c>
    </row>
    <row r="26" spans="1:17" ht="16" x14ac:dyDescent="0.45">
      <c r="A26" s="8" t="s">
        <v>141</v>
      </c>
      <c r="B26" s="23">
        <v>45611</v>
      </c>
      <c r="C26" s="8" t="s">
        <v>113</v>
      </c>
      <c r="D26" s="8" t="s">
        <v>75</v>
      </c>
      <c r="E26" s="8" t="s">
        <v>114</v>
      </c>
      <c r="F26" s="8" t="s">
        <v>39</v>
      </c>
      <c r="G26" s="8" t="s">
        <v>83</v>
      </c>
      <c r="H26" s="8" t="s">
        <v>77</v>
      </c>
      <c r="I26" s="8" t="s">
        <v>78</v>
      </c>
      <c r="J26" s="8">
        <v>231</v>
      </c>
      <c r="K26" s="8">
        <v>110</v>
      </c>
      <c r="L26" s="8">
        <v>91</v>
      </c>
      <c r="M26" s="24">
        <v>3.7</v>
      </c>
      <c r="N26" s="15">
        <v>13500</v>
      </c>
      <c r="O26" s="15">
        <v>13400</v>
      </c>
      <c r="P26" s="8" t="s">
        <v>64</v>
      </c>
      <c r="Q26" s="8" t="s">
        <v>142</v>
      </c>
    </row>
    <row r="27" spans="1:17" ht="16" x14ac:dyDescent="0.45">
      <c r="A27" s="8" t="s">
        <v>143</v>
      </c>
      <c r="B27" s="23">
        <v>45611</v>
      </c>
      <c r="C27" s="8" t="s">
        <v>113</v>
      </c>
      <c r="D27" s="8" t="s">
        <v>67</v>
      </c>
      <c r="E27" s="8" t="s">
        <v>60</v>
      </c>
      <c r="F27" s="8" t="s">
        <v>41</v>
      </c>
      <c r="G27" s="8" t="s">
        <v>61</v>
      </c>
      <c r="H27" s="8" t="s">
        <v>62</v>
      </c>
      <c r="I27" s="8" t="s">
        <v>71</v>
      </c>
      <c r="J27" s="8">
        <v>135</v>
      </c>
      <c r="K27" s="8">
        <v>118</v>
      </c>
      <c r="L27" s="8">
        <v>75</v>
      </c>
      <c r="M27" s="24">
        <v>3.9</v>
      </c>
      <c r="N27" s="15">
        <v>62500</v>
      </c>
      <c r="O27" s="15">
        <v>64300</v>
      </c>
      <c r="P27" s="8" t="s">
        <v>64</v>
      </c>
      <c r="Q27" s="8" t="s">
        <v>65</v>
      </c>
    </row>
    <row r="28" spans="1:17" ht="16" x14ac:dyDescent="0.45">
      <c r="A28" s="8" t="s">
        <v>144</v>
      </c>
      <c r="B28" s="23">
        <v>45613</v>
      </c>
      <c r="C28" s="8" t="s">
        <v>145</v>
      </c>
      <c r="D28" s="8" t="s">
        <v>59</v>
      </c>
      <c r="E28" s="8" t="s">
        <v>126</v>
      </c>
      <c r="F28" s="8" t="s">
        <v>37</v>
      </c>
      <c r="G28" s="8" t="s">
        <v>89</v>
      </c>
      <c r="H28" s="8" t="s">
        <v>146</v>
      </c>
      <c r="I28" s="8" t="s">
        <v>85</v>
      </c>
      <c r="J28" s="8">
        <v>27</v>
      </c>
      <c r="K28" s="8">
        <v>20</v>
      </c>
      <c r="L28" s="8">
        <v>29</v>
      </c>
      <c r="M28" s="24">
        <v>3.7</v>
      </c>
      <c r="N28" s="15">
        <v>50000</v>
      </c>
      <c r="O28" s="15">
        <v>37400</v>
      </c>
      <c r="P28" s="8" t="s">
        <v>64</v>
      </c>
      <c r="Q28" s="8" t="s">
        <v>111</v>
      </c>
    </row>
    <row r="29" spans="1:17" ht="16" x14ac:dyDescent="0.45">
      <c r="A29" s="8" t="s">
        <v>147</v>
      </c>
      <c r="B29" s="23">
        <v>45616</v>
      </c>
      <c r="C29" s="8" t="s">
        <v>58</v>
      </c>
      <c r="D29" s="8" t="s">
        <v>75</v>
      </c>
      <c r="E29" s="8" t="s">
        <v>116</v>
      </c>
      <c r="F29" s="8" t="s">
        <v>39</v>
      </c>
      <c r="G29" s="8" t="s">
        <v>83</v>
      </c>
      <c r="H29" s="8" t="s">
        <v>84</v>
      </c>
      <c r="I29" s="8" t="s">
        <v>85</v>
      </c>
      <c r="J29" s="8">
        <v>82</v>
      </c>
      <c r="K29" s="8">
        <v>60</v>
      </c>
      <c r="L29" s="8">
        <v>21</v>
      </c>
      <c r="M29" s="24">
        <v>4.4000000000000004</v>
      </c>
      <c r="N29" s="15">
        <v>52500</v>
      </c>
      <c r="O29" s="15">
        <v>41600</v>
      </c>
      <c r="P29" s="8" t="s">
        <v>64</v>
      </c>
      <c r="Q29" s="8" t="s">
        <v>118</v>
      </c>
    </row>
    <row r="30" spans="1:17" ht="16" x14ac:dyDescent="0.45">
      <c r="A30" s="8" t="s">
        <v>148</v>
      </c>
      <c r="B30" s="23">
        <v>45618</v>
      </c>
      <c r="C30" s="8" t="s">
        <v>113</v>
      </c>
      <c r="D30" s="8" t="s">
        <v>75</v>
      </c>
      <c r="E30" s="8" t="s">
        <v>107</v>
      </c>
      <c r="F30" s="8" t="s">
        <v>36</v>
      </c>
      <c r="G30" s="8" t="s">
        <v>108</v>
      </c>
      <c r="H30" s="8" t="s">
        <v>77</v>
      </c>
      <c r="I30" s="8" t="s">
        <v>78</v>
      </c>
      <c r="J30" s="8">
        <v>196</v>
      </c>
      <c r="K30" s="8">
        <v>0</v>
      </c>
      <c r="L30" s="8">
        <v>0</v>
      </c>
      <c r="M30" s="24"/>
      <c r="N30" s="15">
        <v>11000</v>
      </c>
      <c r="O30" s="15">
        <v>1100</v>
      </c>
      <c r="P30" s="8" t="s">
        <v>96</v>
      </c>
      <c r="Q30" s="8" t="s">
        <v>118</v>
      </c>
    </row>
    <row r="31" spans="1:17" ht="16" x14ac:dyDescent="0.45">
      <c r="A31" s="8" t="s">
        <v>149</v>
      </c>
      <c r="B31" s="23">
        <v>45622</v>
      </c>
      <c r="C31" s="8" t="s">
        <v>99</v>
      </c>
      <c r="D31" s="8" t="s">
        <v>75</v>
      </c>
      <c r="E31" s="8" t="s">
        <v>150</v>
      </c>
      <c r="F31" s="8" t="s">
        <v>36</v>
      </c>
      <c r="G31" s="8" t="s">
        <v>108</v>
      </c>
      <c r="H31" s="8" t="s">
        <v>77</v>
      </c>
      <c r="I31" s="8" t="s">
        <v>78</v>
      </c>
      <c r="J31" s="8">
        <v>280</v>
      </c>
      <c r="K31" s="8">
        <v>163</v>
      </c>
      <c r="L31" s="8">
        <v>122</v>
      </c>
      <c r="M31" s="24">
        <v>4.4000000000000004</v>
      </c>
      <c r="N31" s="15">
        <v>19500</v>
      </c>
      <c r="O31" s="15">
        <v>20300</v>
      </c>
      <c r="P31" s="8" t="s">
        <v>64</v>
      </c>
      <c r="Q31" s="8" t="s">
        <v>65</v>
      </c>
    </row>
    <row r="32" spans="1:17" ht="16" x14ac:dyDescent="0.45">
      <c r="A32" s="8" t="s">
        <v>151</v>
      </c>
      <c r="B32" s="23">
        <v>45625</v>
      </c>
      <c r="C32" s="8" t="s">
        <v>113</v>
      </c>
      <c r="D32" s="8" t="s">
        <v>59</v>
      </c>
      <c r="E32" s="8" t="s">
        <v>152</v>
      </c>
      <c r="F32" s="8" t="s">
        <v>40</v>
      </c>
      <c r="G32" s="8" t="s">
        <v>69</v>
      </c>
      <c r="H32" s="8" t="s">
        <v>62</v>
      </c>
      <c r="I32" s="8" t="s">
        <v>117</v>
      </c>
      <c r="J32" s="8">
        <v>172</v>
      </c>
      <c r="K32" s="8">
        <v>122</v>
      </c>
      <c r="L32" s="8">
        <v>66</v>
      </c>
      <c r="M32" s="24">
        <v>3.6</v>
      </c>
      <c r="N32" s="15">
        <v>62000</v>
      </c>
      <c r="O32" s="15">
        <v>53500</v>
      </c>
      <c r="P32" s="8" t="s">
        <v>64</v>
      </c>
      <c r="Q32" s="8" t="s">
        <v>153</v>
      </c>
    </row>
    <row r="33" spans="1:17" ht="16" x14ac:dyDescent="0.45">
      <c r="A33" s="8" t="s">
        <v>154</v>
      </c>
      <c r="B33" s="23">
        <v>45627</v>
      </c>
      <c r="C33" s="8" t="s">
        <v>145</v>
      </c>
      <c r="D33" s="8" t="s">
        <v>59</v>
      </c>
      <c r="E33" s="8" t="s">
        <v>95</v>
      </c>
      <c r="F33" s="8" t="s">
        <v>40</v>
      </c>
      <c r="G33" s="8" t="s">
        <v>69</v>
      </c>
      <c r="H33" s="8" t="s">
        <v>62</v>
      </c>
      <c r="I33" s="8" t="s">
        <v>117</v>
      </c>
      <c r="J33" s="8">
        <v>179</v>
      </c>
      <c r="K33" s="8">
        <v>130</v>
      </c>
      <c r="L33" s="8">
        <v>104</v>
      </c>
      <c r="M33" s="24">
        <v>4.3</v>
      </c>
      <c r="N33" s="15">
        <v>48500</v>
      </c>
      <c r="O33" s="15">
        <v>44700</v>
      </c>
      <c r="P33" s="8" t="s">
        <v>64</v>
      </c>
      <c r="Q33" s="8" t="s">
        <v>118</v>
      </c>
    </row>
    <row r="34" spans="1:17" ht="16" x14ac:dyDescent="0.45">
      <c r="A34" s="8" t="s">
        <v>155</v>
      </c>
      <c r="B34" s="23">
        <v>45629</v>
      </c>
      <c r="C34" s="8" t="s">
        <v>99</v>
      </c>
      <c r="D34" s="8" t="s">
        <v>75</v>
      </c>
      <c r="E34" s="8" t="s">
        <v>129</v>
      </c>
      <c r="F34" s="8" t="s">
        <v>40</v>
      </c>
      <c r="G34" s="8" t="s">
        <v>69</v>
      </c>
      <c r="H34" s="8" t="s">
        <v>156</v>
      </c>
      <c r="I34" s="8" t="s">
        <v>63</v>
      </c>
      <c r="J34" s="8">
        <v>72</v>
      </c>
      <c r="K34" s="8">
        <v>51</v>
      </c>
      <c r="L34" s="8">
        <v>45</v>
      </c>
      <c r="M34" s="24">
        <v>3.8</v>
      </c>
      <c r="N34" s="15">
        <v>49500</v>
      </c>
      <c r="O34" s="15">
        <v>40400</v>
      </c>
      <c r="P34" s="8" t="s">
        <v>64</v>
      </c>
      <c r="Q34" s="8" t="s">
        <v>118</v>
      </c>
    </row>
    <row r="35" spans="1:17" ht="16" x14ac:dyDescent="0.45">
      <c r="A35" s="8" t="s">
        <v>157</v>
      </c>
      <c r="B35" s="23">
        <v>45630</v>
      </c>
      <c r="C35" s="8" t="s">
        <v>58</v>
      </c>
      <c r="D35" s="8" t="s">
        <v>67</v>
      </c>
      <c r="E35" s="8" t="s">
        <v>60</v>
      </c>
      <c r="F35" s="8" t="s">
        <v>41</v>
      </c>
      <c r="G35" s="8" t="s">
        <v>61</v>
      </c>
      <c r="H35" s="8" t="s">
        <v>62</v>
      </c>
      <c r="I35" s="8" t="s">
        <v>63</v>
      </c>
      <c r="J35" s="8">
        <v>93</v>
      </c>
      <c r="K35" s="8">
        <v>76</v>
      </c>
      <c r="L35" s="8">
        <v>110</v>
      </c>
      <c r="M35" s="24">
        <v>3.8</v>
      </c>
      <c r="N35" s="15">
        <v>10500</v>
      </c>
      <c r="O35" s="15">
        <v>8900</v>
      </c>
      <c r="P35" s="8" t="s">
        <v>64</v>
      </c>
      <c r="Q35" s="8" t="s">
        <v>137</v>
      </c>
    </row>
    <row r="36" spans="1:17" ht="16" x14ac:dyDescent="0.45">
      <c r="A36" s="8" t="s">
        <v>158</v>
      </c>
      <c r="B36" s="23">
        <v>45632</v>
      </c>
      <c r="C36" s="8" t="s">
        <v>113</v>
      </c>
      <c r="D36" s="8" t="s">
        <v>67</v>
      </c>
      <c r="E36" s="8" t="s">
        <v>68</v>
      </c>
      <c r="F36" s="8" t="s">
        <v>40</v>
      </c>
      <c r="G36" s="8" t="s">
        <v>69</v>
      </c>
      <c r="H36" s="8" t="s">
        <v>77</v>
      </c>
      <c r="I36" s="8" t="s">
        <v>78</v>
      </c>
      <c r="J36" s="8">
        <v>213</v>
      </c>
      <c r="K36" s="8">
        <v>128</v>
      </c>
      <c r="L36" s="8">
        <v>65</v>
      </c>
      <c r="M36" s="24">
        <v>3.7</v>
      </c>
      <c r="N36" s="15">
        <v>43500</v>
      </c>
      <c r="O36" s="15">
        <v>45400</v>
      </c>
      <c r="P36" s="8" t="s">
        <v>64</v>
      </c>
      <c r="Q36" s="8" t="s">
        <v>159</v>
      </c>
    </row>
    <row r="37" spans="1:17" ht="16" x14ac:dyDescent="0.45">
      <c r="A37" s="8" t="s">
        <v>160</v>
      </c>
      <c r="B37" s="23">
        <v>45632</v>
      </c>
      <c r="C37" s="8" t="s">
        <v>113</v>
      </c>
      <c r="D37" s="8" t="s">
        <v>59</v>
      </c>
      <c r="E37" s="8" t="s">
        <v>161</v>
      </c>
      <c r="F37" s="8" t="s">
        <v>36</v>
      </c>
      <c r="G37" s="8" t="s">
        <v>108</v>
      </c>
      <c r="H37" s="8" t="s">
        <v>62</v>
      </c>
      <c r="I37" s="8" t="s">
        <v>71</v>
      </c>
      <c r="J37" s="8">
        <v>46</v>
      </c>
      <c r="K37" s="8">
        <v>33</v>
      </c>
      <c r="L37" s="8">
        <v>14</v>
      </c>
      <c r="M37" s="24">
        <v>4.7</v>
      </c>
      <c r="N37" s="15">
        <v>19500</v>
      </c>
      <c r="O37" s="15">
        <v>19900</v>
      </c>
      <c r="P37" s="8" t="s">
        <v>64</v>
      </c>
      <c r="Q37" s="8" t="s">
        <v>111</v>
      </c>
    </row>
    <row r="38" spans="1:17" ht="16" x14ac:dyDescent="0.45">
      <c r="A38" s="8" t="s">
        <v>162</v>
      </c>
      <c r="B38" s="23">
        <v>45633</v>
      </c>
      <c r="C38" s="8" t="s">
        <v>81</v>
      </c>
      <c r="D38" s="8" t="s">
        <v>59</v>
      </c>
      <c r="E38" s="8" t="s">
        <v>163</v>
      </c>
      <c r="F38" s="8" t="s">
        <v>36</v>
      </c>
      <c r="G38" s="8" t="s">
        <v>108</v>
      </c>
      <c r="H38" s="8" t="s">
        <v>62</v>
      </c>
      <c r="I38" s="8" t="s">
        <v>71</v>
      </c>
      <c r="J38" s="8">
        <v>84</v>
      </c>
      <c r="K38" s="8">
        <v>57</v>
      </c>
      <c r="L38" s="8">
        <v>43</v>
      </c>
      <c r="M38" s="24">
        <v>4.8</v>
      </c>
      <c r="N38" s="15">
        <v>88000</v>
      </c>
      <c r="O38" s="15">
        <v>84100</v>
      </c>
      <c r="P38" s="8" t="s">
        <v>64</v>
      </c>
      <c r="Q38" s="8" t="s">
        <v>127</v>
      </c>
    </row>
    <row r="39" spans="1:17" ht="16" x14ac:dyDescent="0.45">
      <c r="A39" s="8" t="s">
        <v>164</v>
      </c>
      <c r="B39" s="23">
        <v>45634</v>
      </c>
      <c r="C39" s="8" t="s">
        <v>145</v>
      </c>
      <c r="D39" s="8" t="s">
        <v>59</v>
      </c>
      <c r="E39" s="8" t="s">
        <v>165</v>
      </c>
      <c r="F39" s="8" t="s">
        <v>38</v>
      </c>
      <c r="G39" s="8" t="s">
        <v>101</v>
      </c>
      <c r="H39" s="8" t="s">
        <v>84</v>
      </c>
      <c r="I39" s="8" t="s">
        <v>63</v>
      </c>
      <c r="J39" s="8">
        <v>74</v>
      </c>
      <c r="K39" s="8">
        <v>37</v>
      </c>
      <c r="L39" s="8">
        <v>15</v>
      </c>
      <c r="M39" s="24">
        <v>4.5999999999999996</v>
      </c>
      <c r="N39" s="15">
        <v>29000</v>
      </c>
      <c r="O39" s="15">
        <v>30600</v>
      </c>
      <c r="P39" s="8" t="s">
        <v>64</v>
      </c>
      <c r="Q39" s="8" t="s">
        <v>86</v>
      </c>
    </row>
    <row r="40" spans="1:17" ht="16" x14ac:dyDescent="0.45">
      <c r="A40" s="8" t="s">
        <v>166</v>
      </c>
      <c r="B40" s="23">
        <v>45634</v>
      </c>
      <c r="C40" s="8" t="s">
        <v>145</v>
      </c>
      <c r="D40" s="8" t="s">
        <v>59</v>
      </c>
      <c r="E40" s="8" t="s">
        <v>114</v>
      </c>
      <c r="F40" s="8" t="s">
        <v>39</v>
      </c>
      <c r="G40" s="8" t="s">
        <v>83</v>
      </c>
      <c r="H40" s="8" t="s">
        <v>167</v>
      </c>
      <c r="I40" s="8" t="s">
        <v>71</v>
      </c>
      <c r="J40" s="8">
        <v>171</v>
      </c>
      <c r="K40" s="8">
        <v>104</v>
      </c>
      <c r="L40" s="8">
        <v>51</v>
      </c>
      <c r="M40" s="24">
        <v>4</v>
      </c>
      <c r="N40" s="15">
        <v>50500</v>
      </c>
      <c r="O40" s="15">
        <v>45900</v>
      </c>
      <c r="P40" s="8" t="s">
        <v>64</v>
      </c>
      <c r="Q40" s="8" t="s">
        <v>168</v>
      </c>
    </row>
    <row r="41" spans="1:17" ht="16" x14ac:dyDescent="0.45">
      <c r="A41" s="8" t="s">
        <v>169</v>
      </c>
      <c r="B41" s="23">
        <v>45642</v>
      </c>
      <c r="C41" s="8" t="s">
        <v>170</v>
      </c>
      <c r="D41" s="8" t="s">
        <v>75</v>
      </c>
      <c r="E41" s="8" t="s">
        <v>129</v>
      </c>
      <c r="F41" s="8" t="s">
        <v>40</v>
      </c>
      <c r="G41" s="8" t="s">
        <v>69</v>
      </c>
      <c r="H41" s="8" t="s">
        <v>62</v>
      </c>
      <c r="I41" s="8" t="s">
        <v>85</v>
      </c>
      <c r="J41" s="8">
        <v>104</v>
      </c>
      <c r="K41" s="8">
        <v>78</v>
      </c>
      <c r="L41" s="8">
        <v>55</v>
      </c>
      <c r="M41" s="24">
        <v>4.0999999999999996</v>
      </c>
      <c r="N41" s="15">
        <v>51500</v>
      </c>
      <c r="O41" s="15">
        <v>45000</v>
      </c>
      <c r="P41" s="8" t="s">
        <v>64</v>
      </c>
      <c r="Q41" s="8" t="s">
        <v>111</v>
      </c>
    </row>
    <row r="42" spans="1:17" ht="16" x14ac:dyDescent="0.45">
      <c r="A42" s="8" t="s">
        <v>171</v>
      </c>
      <c r="B42" s="23">
        <v>45642</v>
      </c>
      <c r="C42" s="8" t="s">
        <v>170</v>
      </c>
      <c r="D42" s="8" t="s">
        <v>120</v>
      </c>
      <c r="E42" s="8" t="s">
        <v>172</v>
      </c>
      <c r="F42" s="8" t="s">
        <v>37</v>
      </c>
      <c r="G42" s="8" t="s">
        <v>89</v>
      </c>
      <c r="H42" s="8" t="s">
        <v>62</v>
      </c>
      <c r="I42" s="8" t="s">
        <v>104</v>
      </c>
      <c r="J42" s="8">
        <v>174</v>
      </c>
      <c r="K42" s="8">
        <v>133</v>
      </c>
      <c r="L42" s="8">
        <v>279</v>
      </c>
      <c r="M42" s="24">
        <v>4.2</v>
      </c>
      <c r="N42" s="15">
        <v>76000</v>
      </c>
      <c r="O42" s="15">
        <v>61900</v>
      </c>
      <c r="P42" s="8" t="s">
        <v>64</v>
      </c>
      <c r="Q42" s="8" t="s">
        <v>65</v>
      </c>
    </row>
    <row r="43" spans="1:17" ht="16" x14ac:dyDescent="0.45">
      <c r="A43" s="8" t="s">
        <v>173</v>
      </c>
      <c r="B43" s="23">
        <v>45646</v>
      </c>
      <c r="C43" s="8" t="s">
        <v>113</v>
      </c>
      <c r="D43" s="8" t="s">
        <v>120</v>
      </c>
      <c r="E43" s="8" t="s">
        <v>165</v>
      </c>
      <c r="F43" s="8" t="s">
        <v>38</v>
      </c>
      <c r="G43" s="8" t="s">
        <v>101</v>
      </c>
      <c r="H43" s="8" t="s">
        <v>70</v>
      </c>
      <c r="I43" s="8" t="s">
        <v>71</v>
      </c>
      <c r="J43" s="8">
        <v>106</v>
      </c>
      <c r="K43" s="8">
        <v>79</v>
      </c>
      <c r="L43" s="8">
        <v>70</v>
      </c>
      <c r="M43" s="24">
        <v>4.2</v>
      </c>
      <c r="N43" s="15">
        <v>59500</v>
      </c>
      <c r="O43" s="15">
        <v>57000</v>
      </c>
      <c r="P43" s="8" t="s">
        <v>64</v>
      </c>
      <c r="Q43" s="8" t="s">
        <v>93</v>
      </c>
    </row>
    <row r="44" spans="1:17" ht="16" x14ac:dyDescent="0.45">
      <c r="A44" s="8" t="s">
        <v>174</v>
      </c>
      <c r="B44" s="23">
        <v>45646</v>
      </c>
      <c r="C44" s="8" t="s">
        <v>113</v>
      </c>
      <c r="D44" s="8" t="s">
        <v>59</v>
      </c>
      <c r="E44" s="8" t="s">
        <v>82</v>
      </c>
      <c r="F44" s="8" t="s">
        <v>39</v>
      </c>
      <c r="G44" s="8" t="s">
        <v>83</v>
      </c>
      <c r="H44" s="8" t="s">
        <v>84</v>
      </c>
      <c r="I44" s="8" t="s">
        <v>71</v>
      </c>
      <c r="J44" s="8">
        <v>169</v>
      </c>
      <c r="K44" s="8">
        <v>120</v>
      </c>
      <c r="L44" s="8">
        <v>63</v>
      </c>
      <c r="M44" s="24">
        <v>3.9</v>
      </c>
      <c r="N44" s="15">
        <v>80500</v>
      </c>
      <c r="O44" s="15">
        <v>80800</v>
      </c>
      <c r="P44" s="8" t="s">
        <v>64</v>
      </c>
      <c r="Q44" s="8" t="s">
        <v>111</v>
      </c>
    </row>
    <row r="45" spans="1:17" ht="16" x14ac:dyDescent="0.45">
      <c r="A45" s="8" t="s">
        <v>175</v>
      </c>
      <c r="B45" s="23">
        <v>45647</v>
      </c>
      <c r="C45" s="8" t="s">
        <v>81</v>
      </c>
      <c r="D45" s="8" t="s">
        <v>59</v>
      </c>
      <c r="E45" s="8" t="s">
        <v>163</v>
      </c>
      <c r="F45" s="8" t="s">
        <v>36</v>
      </c>
      <c r="G45" s="8" t="s">
        <v>108</v>
      </c>
      <c r="H45" s="8" t="s">
        <v>62</v>
      </c>
      <c r="I45" s="8" t="s">
        <v>104</v>
      </c>
      <c r="J45" s="8">
        <v>106</v>
      </c>
      <c r="K45" s="8">
        <v>62</v>
      </c>
      <c r="L45" s="8">
        <v>38</v>
      </c>
      <c r="M45" s="24">
        <v>4.3</v>
      </c>
      <c r="N45" s="15">
        <v>47000</v>
      </c>
      <c r="O45" s="15">
        <v>55600</v>
      </c>
      <c r="P45" s="8" t="s">
        <v>64</v>
      </c>
      <c r="Q45" s="8" t="s">
        <v>93</v>
      </c>
    </row>
    <row r="46" spans="1:17" ht="16" x14ac:dyDescent="0.45">
      <c r="A46" s="8" t="s">
        <v>176</v>
      </c>
      <c r="B46" s="23">
        <v>45647</v>
      </c>
      <c r="C46" s="8" t="s">
        <v>81</v>
      </c>
      <c r="D46" s="8" t="s">
        <v>59</v>
      </c>
      <c r="E46" s="8" t="s">
        <v>177</v>
      </c>
      <c r="F46" s="8" t="s">
        <v>39</v>
      </c>
      <c r="G46" s="8" t="s">
        <v>83</v>
      </c>
      <c r="H46" s="8" t="s">
        <v>62</v>
      </c>
      <c r="I46" s="8" t="s">
        <v>85</v>
      </c>
      <c r="J46" s="8">
        <v>118</v>
      </c>
      <c r="K46" s="8">
        <v>80</v>
      </c>
      <c r="L46" s="8">
        <v>43</v>
      </c>
      <c r="M46" s="24">
        <v>4.5</v>
      </c>
      <c r="N46" s="15">
        <v>58000</v>
      </c>
      <c r="O46" s="15">
        <v>46000</v>
      </c>
      <c r="P46" s="8" t="s">
        <v>64</v>
      </c>
      <c r="Q46" s="8" t="s">
        <v>79</v>
      </c>
    </row>
    <row r="47" spans="1:17" ht="16" x14ac:dyDescent="0.45">
      <c r="A47" s="8" t="s">
        <v>178</v>
      </c>
      <c r="B47" s="23">
        <v>45648</v>
      </c>
      <c r="C47" s="8" t="s">
        <v>145</v>
      </c>
      <c r="D47" s="8" t="s">
        <v>59</v>
      </c>
      <c r="E47" s="8" t="s">
        <v>150</v>
      </c>
      <c r="F47" s="8" t="s">
        <v>36</v>
      </c>
      <c r="G47" s="8" t="s">
        <v>108</v>
      </c>
      <c r="H47" s="8" t="s">
        <v>77</v>
      </c>
      <c r="I47" s="8" t="s">
        <v>78</v>
      </c>
      <c r="J47" s="8">
        <v>280</v>
      </c>
      <c r="K47" s="8">
        <v>139</v>
      </c>
      <c r="L47" s="8">
        <v>92</v>
      </c>
      <c r="M47" s="24">
        <v>4.5999999999999996</v>
      </c>
      <c r="N47" s="15">
        <v>49000</v>
      </c>
      <c r="O47" s="15">
        <v>55000</v>
      </c>
      <c r="P47" s="8" t="s">
        <v>64</v>
      </c>
      <c r="Q47" s="8" t="s">
        <v>179</v>
      </c>
    </row>
    <row r="48" spans="1:17" ht="16" x14ac:dyDescent="0.45">
      <c r="A48" s="8" t="s">
        <v>180</v>
      </c>
      <c r="B48" s="23">
        <v>45648</v>
      </c>
      <c r="C48" s="8" t="s">
        <v>145</v>
      </c>
      <c r="D48" s="8" t="s">
        <v>59</v>
      </c>
      <c r="E48" s="8" t="s">
        <v>123</v>
      </c>
      <c r="F48" s="8" t="s">
        <v>38</v>
      </c>
      <c r="G48" s="8" t="s">
        <v>101</v>
      </c>
      <c r="H48" s="8" t="s">
        <v>77</v>
      </c>
      <c r="I48" s="8" t="s">
        <v>78</v>
      </c>
      <c r="J48" s="8">
        <v>174</v>
      </c>
      <c r="K48" s="8">
        <v>97</v>
      </c>
      <c r="L48" s="8">
        <v>60</v>
      </c>
      <c r="M48" s="24">
        <v>4.3</v>
      </c>
      <c r="N48" s="15">
        <v>25500</v>
      </c>
      <c r="O48" s="15">
        <v>24700</v>
      </c>
      <c r="P48" s="8" t="s">
        <v>64</v>
      </c>
      <c r="Q48" s="8" t="s">
        <v>181</v>
      </c>
    </row>
    <row r="49" spans="1:17" ht="16" x14ac:dyDescent="0.45">
      <c r="A49" s="8" t="s">
        <v>182</v>
      </c>
      <c r="B49" s="23">
        <v>45650</v>
      </c>
      <c r="C49" s="8" t="s">
        <v>99</v>
      </c>
      <c r="D49" s="8" t="s">
        <v>120</v>
      </c>
      <c r="E49" s="8" t="s">
        <v>114</v>
      </c>
      <c r="F49" s="8" t="s">
        <v>39</v>
      </c>
      <c r="G49" s="8" t="s">
        <v>83</v>
      </c>
      <c r="H49" s="8" t="s">
        <v>183</v>
      </c>
      <c r="I49" s="8" t="s">
        <v>63</v>
      </c>
      <c r="J49" s="8">
        <v>112</v>
      </c>
      <c r="K49" s="8">
        <v>84</v>
      </c>
      <c r="L49" s="8">
        <v>26</v>
      </c>
      <c r="M49" s="24">
        <v>4.2</v>
      </c>
      <c r="N49" s="15">
        <v>43500</v>
      </c>
      <c r="O49" s="15">
        <v>42200</v>
      </c>
      <c r="P49" s="8" t="s">
        <v>64</v>
      </c>
      <c r="Q49" s="8" t="s">
        <v>127</v>
      </c>
    </row>
    <row r="50" spans="1:17" ht="16" x14ac:dyDescent="0.45">
      <c r="A50" s="8" t="s">
        <v>184</v>
      </c>
      <c r="B50" s="23">
        <v>45650</v>
      </c>
      <c r="C50" s="8" t="s">
        <v>99</v>
      </c>
      <c r="D50" s="8" t="s">
        <v>67</v>
      </c>
      <c r="E50" s="8" t="s">
        <v>163</v>
      </c>
      <c r="F50" s="8" t="s">
        <v>36</v>
      </c>
      <c r="G50" s="8" t="s">
        <v>108</v>
      </c>
      <c r="H50" s="8" t="s">
        <v>62</v>
      </c>
      <c r="I50" s="8" t="s">
        <v>71</v>
      </c>
      <c r="J50" s="8">
        <v>152</v>
      </c>
      <c r="K50" s="8">
        <v>135</v>
      </c>
      <c r="L50" s="8">
        <v>84</v>
      </c>
      <c r="M50" s="24">
        <v>4.7</v>
      </c>
      <c r="N50" s="15">
        <v>34000</v>
      </c>
      <c r="O50" s="15">
        <v>40500</v>
      </c>
      <c r="P50" s="8" t="s">
        <v>64</v>
      </c>
      <c r="Q50" s="8" t="s">
        <v>185</v>
      </c>
    </row>
    <row r="51" spans="1:17" ht="16" x14ac:dyDescent="0.45">
      <c r="A51" s="8" t="s">
        <v>186</v>
      </c>
      <c r="B51" s="23">
        <v>45651</v>
      </c>
      <c r="C51" s="8" t="s">
        <v>58</v>
      </c>
      <c r="D51" s="8" t="s">
        <v>75</v>
      </c>
      <c r="E51" s="8" t="s">
        <v>172</v>
      </c>
      <c r="F51" s="8" t="s">
        <v>37</v>
      </c>
      <c r="G51" s="8" t="s">
        <v>89</v>
      </c>
      <c r="H51" s="8" t="s">
        <v>62</v>
      </c>
      <c r="I51" s="8" t="s">
        <v>71</v>
      </c>
      <c r="J51" s="8">
        <v>97</v>
      </c>
      <c r="K51" s="8">
        <v>73</v>
      </c>
      <c r="L51" s="8">
        <v>80</v>
      </c>
      <c r="M51" s="24">
        <v>4.3</v>
      </c>
      <c r="N51" s="15">
        <v>72500</v>
      </c>
      <c r="O51" s="15">
        <v>70000</v>
      </c>
      <c r="P51" s="8" t="s">
        <v>64</v>
      </c>
      <c r="Q51" s="8" t="s">
        <v>111</v>
      </c>
    </row>
    <row r="52" spans="1:17" ht="16" x14ac:dyDescent="0.45">
      <c r="A52" s="8" t="s">
        <v>187</v>
      </c>
      <c r="B52" s="23">
        <v>45651</v>
      </c>
      <c r="C52" s="8" t="s">
        <v>58</v>
      </c>
      <c r="D52" s="8" t="s">
        <v>75</v>
      </c>
      <c r="E52" s="8" t="s">
        <v>110</v>
      </c>
      <c r="F52" s="8" t="s">
        <v>36</v>
      </c>
      <c r="G52" s="8" t="s">
        <v>108</v>
      </c>
      <c r="H52" s="8" t="s">
        <v>62</v>
      </c>
      <c r="I52" s="8" t="s">
        <v>104</v>
      </c>
      <c r="J52" s="8">
        <v>132</v>
      </c>
      <c r="K52" s="8">
        <v>92</v>
      </c>
      <c r="L52" s="8">
        <v>67</v>
      </c>
      <c r="M52" s="24">
        <v>4.4000000000000004</v>
      </c>
      <c r="N52" s="15">
        <v>18500</v>
      </c>
      <c r="O52" s="15">
        <v>23100</v>
      </c>
      <c r="P52" s="8" t="s">
        <v>64</v>
      </c>
      <c r="Q52" s="8" t="s">
        <v>86</v>
      </c>
    </row>
    <row r="53" spans="1:17" ht="16" x14ac:dyDescent="0.45">
      <c r="A53" s="8" t="s">
        <v>188</v>
      </c>
      <c r="B53" s="23">
        <v>45656</v>
      </c>
      <c r="C53" s="8" t="s">
        <v>170</v>
      </c>
      <c r="D53" s="8" t="s">
        <v>59</v>
      </c>
      <c r="E53" s="8" t="s">
        <v>177</v>
      </c>
      <c r="F53" s="8" t="s">
        <v>39</v>
      </c>
      <c r="G53" s="8" t="s">
        <v>83</v>
      </c>
      <c r="H53" s="8" t="s">
        <v>167</v>
      </c>
      <c r="I53" s="8" t="s">
        <v>71</v>
      </c>
      <c r="J53" s="8">
        <v>62</v>
      </c>
      <c r="K53" s="8">
        <v>45</v>
      </c>
      <c r="L53" s="8">
        <v>40</v>
      </c>
      <c r="M53" s="24">
        <v>4.4000000000000004</v>
      </c>
      <c r="N53" s="15">
        <v>14500</v>
      </c>
      <c r="O53" s="15">
        <v>13000</v>
      </c>
      <c r="P53" s="8" t="s">
        <v>64</v>
      </c>
      <c r="Q53" s="8" t="s">
        <v>189</v>
      </c>
    </row>
    <row r="54" spans="1:17" ht="16" x14ac:dyDescent="0.45">
      <c r="A54" s="8" t="s">
        <v>190</v>
      </c>
      <c r="B54" s="23">
        <v>45656</v>
      </c>
      <c r="C54" s="8" t="s">
        <v>170</v>
      </c>
      <c r="D54" s="8" t="s">
        <v>75</v>
      </c>
      <c r="E54" s="8" t="s">
        <v>126</v>
      </c>
      <c r="F54" s="8" t="s">
        <v>37</v>
      </c>
      <c r="G54" s="8" t="s">
        <v>89</v>
      </c>
      <c r="H54" s="8" t="s">
        <v>62</v>
      </c>
      <c r="I54" s="8" t="s">
        <v>117</v>
      </c>
      <c r="J54" s="8">
        <v>127</v>
      </c>
      <c r="K54" s="8">
        <v>111</v>
      </c>
      <c r="L54" s="8">
        <v>249</v>
      </c>
      <c r="M54" s="24">
        <v>4.2</v>
      </c>
      <c r="N54" s="15">
        <v>38000</v>
      </c>
      <c r="O54" s="15">
        <v>34300</v>
      </c>
      <c r="P54" s="8" t="s">
        <v>64</v>
      </c>
      <c r="Q54" s="8" t="s">
        <v>93</v>
      </c>
    </row>
    <row r="55" spans="1:17" ht="16" x14ac:dyDescent="0.45">
      <c r="A55" s="8" t="s">
        <v>191</v>
      </c>
      <c r="B55" s="23">
        <v>45657</v>
      </c>
      <c r="C55" s="8" t="s">
        <v>99</v>
      </c>
      <c r="D55" s="8" t="s">
        <v>59</v>
      </c>
      <c r="E55" s="8" t="s">
        <v>165</v>
      </c>
      <c r="F55" s="8" t="s">
        <v>38</v>
      </c>
      <c r="G55" s="8" t="s">
        <v>101</v>
      </c>
      <c r="H55" s="8" t="s">
        <v>62</v>
      </c>
      <c r="I55" s="8" t="s">
        <v>104</v>
      </c>
      <c r="J55" s="8">
        <v>63</v>
      </c>
      <c r="K55" s="8">
        <v>31</v>
      </c>
      <c r="L55" s="8">
        <v>22</v>
      </c>
      <c r="M55" s="24">
        <v>4</v>
      </c>
      <c r="N55" s="15">
        <v>54000</v>
      </c>
      <c r="O55" s="15">
        <v>50500</v>
      </c>
      <c r="P55" s="8" t="s">
        <v>64</v>
      </c>
      <c r="Q55" s="8" t="s">
        <v>137</v>
      </c>
    </row>
    <row r="56" spans="1:17" ht="16" x14ac:dyDescent="0.45">
      <c r="A56" s="8" t="s">
        <v>192</v>
      </c>
      <c r="B56" s="23">
        <v>45657</v>
      </c>
      <c r="C56" s="8" t="s">
        <v>99</v>
      </c>
      <c r="D56" s="8" t="s">
        <v>67</v>
      </c>
      <c r="E56" s="8" t="s">
        <v>116</v>
      </c>
      <c r="F56" s="8" t="s">
        <v>39</v>
      </c>
      <c r="G56" s="8" t="s">
        <v>83</v>
      </c>
      <c r="H56" s="8" t="s">
        <v>77</v>
      </c>
      <c r="I56" s="8" t="s">
        <v>78</v>
      </c>
      <c r="J56" s="8">
        <v>207</v>
      </c>
      <c r="K56" s="8">
        <v>119</v>
      </c>
      <c r="L56" s="8">
        <v>38</v>
      </c>
      <c r="M56" s="24">
        <v>3.7</v>
      </c>
      <c r="N56" s="15">
        <v>68500</v>
      </c>
      <c r="O56" s="15">
        <v>61100</v>
      </c>
      <c r="P56" s="8" t="s">
        <v>64</v>
      </c>
      <c r="Q56" s="8" t="s">
        <v>86</v>
      </c>
    </row>
    <row r="57" spans="1:17" ht="16" x14ac:dyDescent="0.45">
      <c r="A57" s="8" t="s">
        <v>193</v>
      </c>
      <c r="B57" s="23">
        <v>45658</v>
      </c>
      <c r="C57" s="8" t="s">
        <v>58</v>
      </c>
      <c r="D57" s="8" t="s">
        <v>120</v>
      </c>
      <c r="E57" s="8" t="s">
        <v>194</v>
      </c>
      <c r="F57" s="8" t="s">
        <v>38</v>
      </c>
      <c r="G57" s="8" t="s">
        <v>101</v>
      </c>
      <c r="H57" s="8" t="s">
        <v>62</v>
      </c>
      <c r="I57" s="8" t="s">
        <v>85</v>
      </c>
      <c r="J57" s="8">
        <v>172</v>
      </c>
      <c r="K57" s="8">
        <v>142</v>
      </c>
      <c r="L57" s="8">
        <v>81</v>
      </c>
      <c r="M57" s="24">
        <v>4.4000000000000004</v>
      </c>
      <c r="N57" s="15">
        <v>49500</v>
      </c>
      <c r="O57" s="15">
        <v>41300</v>
      </c>
      <c r="P57" s="8" t="s">
        <v>64</v>
      </c>
      <c r="Q57" s="8" t="s">
        <v>159</v>
      </c>
    </row>
    <row r="58" spans="1:17" ht="16" x14ac:dyDescent="0.45">
      <c r="A58" s="8" t="s">
        <v>195</v>
      </c>
      <c r="B58" s="23">
        <v>45658</v>
      </c>
      <c r="C58" s="8" t="s">
        <v>58</v>
      </c>
      <c r="D58" s="8" t="s">
        <v>120</v>
      </c>
      <c r="E58" s="8" t="s">
        <v>177</v>
      </c>
      <c r="F58" s="8" t="s">
        <v>39</v>
      </c>
      <c r="G58" s="8" t="s">
        <v>83</v>
      </c>
      <c r="H58" s="8" t="s">
        <v>62</v>
      </c>
      <c r="I58" s="8" t="s">
        <v>117</v>
      </c>
      <c r="J58" s="8">
        <v>165</v>
      </c>
      <c r="K58" s="8">
        <v>129</v>
      </c>
      <c r="L58" s="8">
        <v>74</v>
      </c>
      <c r="M58" s="24">
        <v>4.2</v>
      </c>
      <c r="N58" s="15">
        <v>32000</v>
      </c>
      <c r="O58" s="15">
        <v>31100</v>
      </c>
      <c r="P58" s="8" t="s">
        <v>64</v>
      </c>
      <c r="Q58" s="8" t="s">
        <v>196</v>
      </c>
    </row>
    <row r="59" spans="1:17" ht="16" x14ac:dyDescent="0.45">
      <c r="A59" s="8" t="s">
        <v>197</v>
      </c>
      <c r="B59" s="23">
        <v>45660</v>
      </c>
      <c r="C59" s="8" t="s">
        <v>113</v>
      </c>
      <c r="D59" s="8" t="s">
        <v>75</v>
      </c>
      <c r="E59" s="8" t="s">
        <v>172</v>
      </c>
      <c r="F59" s="8" t="s">
        <v>37</v>
      </c>
      <c r="G59" s="8" t="s">
        <v>89</v>
      </c>
      <c r="H59" s="8" t="s">
        <v>62</v>
      </c>
      <c r="I59" s="8" t="s">
        <v>71</v>
      </c>
      <c r="J59" s="8">
        <v>48</v>
      </c>
      <c r="K59" s="8">
        <v>35</v>
      </c>
      <c r="L59" s="8">
        <v>83</v>
      </c>
      <c r="M59" s="24">
        <v>4.2</v>
      </c>
      <c r="N59" s="15">
        <v>31500</v>
      </c>
      <c r="O59" s="15">
        <v>28300</v>
      </c>
      <c r="P59" s="8" t="s">
        <v>64</v>
      </c>
      <c r="Q59" s="8" t="s">
        <v>198</v>
      </c>
    </row>
    <row r="60" spans="1:17" ht="16" x14ac:dyDescent="0.45">
      <c r="A60" s="8" t="s">
        <v>199</v>
      </c>
      <c r="B60" s="23">
        <v>45660</v>
      </c>
      <c r="C60" s="8" t="s">
        <v>113</v>
      </c>
      <c r="D60" s="8" t="s">
        <v>75</v>
      </c>
      <c r="E60" s="8" t="s">
        <v>129</v>
      </c>
      <c r="F60" s="8" t="s">
        <v>40</v>
      </c>
      <c r="G60" s="8" t="s">
        <v>69</v>
      </c>
      <c r="H60" s="8" t="s">
        <v>77</v>
      </c>
      <c r="I60" s="8" t="s">
        <v>78</v>
      </c>
      <c r="J60" s="8">
        <v>170</v>
      </c>
      <c r="K60" s="8">
        <v>76</v>
      </c>
      <c r="L60" s="8">
        <v>65</v>
      </c>
      <c r="M60" s="24">
        <v>3.5</v>
      </c>
      <c r="N60" s="15">
        <v>62000</v>
      </c>
      <c r="O60" s="15">
        <v>52500</v>
      </c>
      <c r="P60" s="8" t="s">
        <v>64</v>
      </c>
      <c r="Q60" s="8" t="s">
        <v>137</v>
      </c>
    </row>
    <row r="61" spans="1:17" ht="16" x14ac:dyDescent="0.45">
      <c r="A61" s="8" t="s">
        <v>200</v>
      </c>
      <c r="B61" s="23">
        <v>45665</v>
      </c>
      <c r="C61" s="8" t="s">
        <v>58</v>
      </c>
      <c r="D61" s="8" t="s">
        <v>75</v>
      </c>
      <c r="E61" s="8" t="s">
        <v>161</v>
      </c>
      <c r="F61" s="8" t="s">
        <v>36</v>
      </c>
      <c r="G61" s="8" t="s">
        <v>108</v>
      </c>
      <c r="H61" s="8" t="s">
        <v>77</v>
      </c>
      <c r="I61" s="8" t="s">
        <v>78</v>
      </c>
      <c r="J61" s="8">
        <v>101</v>
      </c>
      <c r="K61" s="8">
        <v>52</v>
      </c>
      <c r="L61" s="8">
        <v>15</v>
      </c>
      <c r="M61" s="24">
        <v>4.3</v>
      </c>
      <c r="N61" s="15">
        <v>76500</v>
      </c>
      <c r="O61" s="15">
        <v>94200</v>
      </c>
      <c r="P61" s="8" t="s">
        <v>64</v>
      </c>
      <c r="Q61" s="8" t="s">
        <v>127</v>
      </c>
    </row>
    <row r="62" spans="1:17" ht="16" x14ac:dyDescent="0.45">
      <c r="A62" s="8" t="s">
        <v>201</v>
      </c>
      <c r="B62" s="23">
        <v>45665</v>
      </c>
      <c r="C62" s="8" t="s">
        <v>58</v>
      </c>
      <c r="D62" s="8" t="s">
        <v>120</v>
      </c>
      <c r="E62" s="8" t="s">
        <v>92</v>
      </c>
      <c r="F62" s="8" t="s">
        <v>41</v>
      </c>
      <c r="G62" s="8" t="s">
        <v>61</v>
      </c>
      <c r="H62" s="8" t="s">
        <v>62</v>
      </c>
      <c r="I62" s="8" t="s">
        <v>71</v>
      </c>
      <c r="J62" s="8">
        <v>103</v>
      </c>
      <c r="K62" s="8">
        <v>93</v>
      </c>
      <c r="L62" s="8">
        <v>196</v>
      </c>
      <c r="M62" s="24">
        <v>4</v>
      </c>
      <c r="N62" s="15">
        <v>38500</v>
      </c>
      <c r="O62" s="15">
        <v>42800</v>
      </c>
      <c r="P62" s="8" t="s">
        <v>64</v>
      </c>
      <c r="Q62" s="8" t="s">
        <v>202</v>
      </c>
    </row>
    <row r="63" spans="1:17" ht="16" x14ac:dyDescent="0.45">
      <c r="A63" s="8" t="s">
        <v>203</v>
      </c>
      <c r="B63" s="23">
        <v>45667</v>
      </c>
      <c r="C63" s="8" t="s">
        <v>113</v>
      </c>
      <c r="D63" s="8" t="s">
        <v>75</v>
      </c>
      <c r="E63" s="8" t="s">
        <v>114</v>
      </c>
      <c r="F63" s="8" t="s">
        <v>39</v>
      </c>
      <c r="G63" s="8" t="s">
        <v>83</v>
      </c>
      <c r="H63" s="8" t="s">
        <v>62</v>
      </c>
      <c r="I63" s="8" t="s">
        <v>85</v>
      </c>
      <c r="J63" s="8">
        <v>114</v>
      </c>
      <c r="K63" s="8">
        <v>89</v>
      </c>
      <c r="L63" s="8">
        <v>36</v>
      </c>
      <c r="M63" s="24">
        <v>3.9</v>
      </c>
      <c r="N63" s="15">
        <v>12500</v>
      </c>
      <c r="O63" s="15">
        <v>13000</v>
      </c>
      <c r="P63" s="8" t="s">
        <v>64</v>
      </c>
      <c r="Q63" s="8" t="s">
        <v>204</v>
      </c>
    </row>
    <row r="64" spans="1:17" ht="16" x14ac:dyDescent="0.45">
      <c r="A64" s="8" t="s">
        <v>205</v>
      </c>
      <c r="B64" s="23">
        <v>45673</v>
      </c>
      <c r="C64" s="8" t="s">
        <v>74</v>
      </c>
      <c r="D64" s="8" t="s">
        <v>75</v>
      </c>
      <c r="E64" s="8" t="s">
        <v>139</v>
      </c>
      <c r="F64" s="8" t="s">
        <v>39</v>
      </c>
      <c r="G64" s="8" t="s">
        <v>83</v>
      </c>
      <c r="H64" s="8" t="s">
        <v>62</v>
      </c>
      <c r="I64" s="8" t="s">
        <v>104</v>
      </c>
      <c r="J64" s="8">
        <v>53</v>
      </c>
      <c r="K64" s="8">
        <v>42</v>
      </c>
      <c r="L64" s="8">
        <v>9</v>
      </c>
      <c r="M64" s="24">
        <v>4.5</v>
      </c>
      <c r="N64" s="15">
        <v>44000</v>
      </c>
      <c r="O64" s="15">
        <v>39300</v>
      </c>
      <c r="P64" s="8" t="s">
        <v>64</v>
      </c>
      <c r="Q64" s="8" t="s">
        <v>137</v>
      </c>
    </row>
    <row r="65" spans="1:17" ht="16" x14ac:dyDescent="0.45">
      <c r="A65" s="8" t="s">
        <v>206</v>
      </c>
      <c r="B65" s="23">
        <v>45675</v>
      </c>
      <c r="C65" s="8" t="s">
        <v>81</v>
      </c>
      <c r="D65" s="8" t="s">
        <v>59</v>
      </c>
      <c r="E65" s="8" t="s">
        <v>207</v>
      </c>
      <c r="F65" s="8" t="s">
        <v>37</v>
      </c>
      <c r="G65" s="8" t="s">
        <v>89</v>
      </c>
      <c r="H65" s="8" t="s">
        <v>62</v>
      </c>
      <c r="I65" s="8" t="s">
        <v>104</v>
      </c>
      <c r="J65" s="8">
        <v>179</v>
      </c>
      <c r="K65" s="8">
        <v>116</v>
      </c>
      <c r="L65" s="8">
        <v>123</v>
      </c>
      <c r="M65" s="24">
        <v>4</v>
      </c>
      <c r="N65" s="15">
        <v>84500</v>
      </c>
      <c r="O65" s="15">
        <v>76400</v>
      </c>
      <c r="P65" s="8" t="s">
        <v>64</v>
      </c>
      <c r="Q65" s="8" t="s">
        <v>196</v>
      </c>
    </row>
    <row r="66" spans="1:17" ht="16" x14ac:dyDescent="0.45">
      <c r="A66" s="8" t="s">
        <v>208</v>
      </c>
      <c r="B66" s="23">
        <v>45676</v>
      </c>
      <c r="C66" s="8" t="s">
        <v>145</v>
      </c>
      <c r="D66" s="8" t="s">
        <v>59</v>
      </c>
      <c r="E66" s="8" t="s">
        <v>194</v>
      </c>
      <c r="F66" s="8" t="s">
        <v>38</v>
      </c>
      <c r="G66" s="8" t="s">
        <v>101</v>
      </c>
      <c r="H66" s="8" t="s">
        <v>62</v>
      </c>
      <c r="I66" s="8" t="s">
        <v>85</v>
      </c>
      <c r="J66" s="8">
        <v>160</v>
      </c>
      <c r="K66" s="8">
        <v>88</v>
      </c>
      <c r="L66" s="8">
        <v>58</v>
      </c>
      <c r="M66" s="24">
        <v>4.0999999999999996</v>
      </c>
      <c r="N66" s="15">
        <v>13000</v>
      </c>
      <c r="O66" s="15">
        <v>12300</v>
      </c>
      <c r="P66" s="8" t="s">
        <v>64</v>
      </c>
      <c r="Q66" s="8" t="s">
        <v>142</v>
      </c>
    </row>
    <row r="67" spans="1:17" ht="16" x14ac:dyDescent="0.45">
      <c r="A67" s="8" t="s">
        <v>209</v>
      </c>
      <c r="B67" s="23">
        <v>45676</v>
      </c>
      <c r="C67" s="8" t="s">
        <v>145</v>
      </c>
      <c r="D67" s="8" t="s">
        <v>59</v>
      </c>
      <c r="E67" s="8" t="s">
        <v>103</v>
      </c>
      <c r="F67" s="8" t="s">
        <v>37</v>
      </c>
      <c r="G67" s="8" t="s">
        <v>89</v>
      </c>
      <c r="H67" s="8" t="s">
        <v>62</v>
      </c>
      <c r="I67" s="8" t="s">
        <v>104</v>
      </c>
      <c r="J67" s="8">
        <v>98</v>
      </c>
      <c r="K67" s="8">
        <v>64</v>
      </c>
      <c r="L67" s="8">
        <v>102</v>
      </c>
      <c r="M67" s="24">
        <v>4.0999999999999996</v>
      </c>
      <c r="N67" s="15">
        <v>61000</v>
      </c>
      <c r="O67" s="15">
        <v>57600</v>
      </c>
      <c r="P67" s="8" t="s">
        <v>64</v>
      </c>
      <c r="Q67" s="8" t="s">
        <v>90</v>
      </c>
    </row>
    <row r="68" spans="1:17" ht="16" x14ac:dyDescent="0.45">
      <c r="A68" s="8" t="s">
        <v>210</v>
      </c>
      <c r="B68" s="23">
        <v>45678</v>
      </c>
      <c r="C68" s="8" t="s">
        <v>99</v>
      </c>
      <c r="D68" s="8" t="s">
        <v>59</v>
      </c>
      <c r="E68" s="8" t="s">
        <v>76</v>
      </c>
      <c r="F68" s="8" t="s">
        <v>40</v>
      </c>
      <c r="G68" s="8" t="s">
        <v>69</v>
      </c>
      <c r="H68" s="8" t="s">
        <v>62</v>
      </c>
      <c r="I68" s="8" t="s">
        <v>117</v>
      </c>
      <c r="J68" s="8">
        <v>102</v>
      </c>
      <c r="K68" s="8">
        <v>72</v>
      </c>
      <c r="L68" s="8">
        <v>39</v>
      </c>
      <c r="M68" s="24">
        <v>3.9</v>
      </c>
      <c r="N68" s="15">
        <v>84500</v>
      </c>
      <c r="O68" s="15">
        <v>76600</v>
      </c>
      <c r="P68" s="8" t="s">
        <v>64</v>
      </c>
      <c r="Q68" s="8" t="s">
        <v>142</v>
      </c>
    </row>
    <row r="69" spans="1:17" ht="16" x14ac:dyDescent="0.45">
      <c r="A69" s="8" t="s">
        <v>211</v>
      </c>
      <c r="B69" s="23">
        <v>45681</v>
      </c>
      <c r="C69" s="8" t="s">
        <v>113</v>
      </c>
      <c r="D69" s="8" t="s">
        <v>59</v>
      </c>
      <c r="E69" s="8" t="s">
        <v>212</v>
      </c>
      <c r="F69" s="8" t="s">
        <v>41</v>
      </c>
      <c r="G69" s="8" t="s">
        <v>61</v>
      </c>
      <c r="H69" s="8" t="s">
        <v>70</v>
      </c>
      <c r="I69" s="8" t="s">
        <v>71</v>
      </c>
      <c r="J69" s="8">
        <v>41</v>
      </c>
      <c r="K69" s="8">
        <v>29</v>
      </c>
      <c r="L69" s="8">
        <v>50</v>
      </c>
      <c r="M69" s="24">
        <v>4.3</v>
      </c>
      <c r="N69" s="15">
        <v>29500</v>
      </c>
      <c r="O69" s="15">
        <v>28600</v>
      </c>
      <c r="P69" s="8" t="s">
        <v>64</v>
      </c>
      <c r="Q69" s="8" t="s">
        <v>142</v>
      </c>
    </row>
    <row r="70" spans="1:17" ht="16" x14ac:dyDescent="0.45">
      <c r="A70" s="8" t="s">
        <v>213</v>
      </c>
      <c r="B70" s="23">
        <v>45688</v>
      </c>
      <c r="C70" s="8" t="s">
        <v>113</v>
      </c>
      <c r="D70" s="8" t="s">
        <v>67</v>
      </c>
      <c r="E70" s="8" t="s">
        <v>165</v>
      </c>
      <c r="F70" s="8" t="s">
        <v>38</v>
      </c>
      <c r="G70" s="8" t="s">
        <v>101</v>
      </c>
      <c r="H70" s="8" t="s">
        <v>77</v>
      </c>
      <c r="I70" s="8" t="s">
        <v>78</v>
      </c>
      <c r="J70" s="8">
        <v>261</v>
      </c>
      <c r="K70" s="8">
        <v>119</v>
      </c>
      <c r="L70" s="8">
        <v>68</v>
      </c>
      <c r="M70" s="24">
        <v>3.6</v>
      </c>
      <c r="N70" s="15">
        <v>63500</v>
      </c>
      <c r="O70" s="15">
        <v>64900</v>
      </c>
      <c r="P70" s="8" t="s">
        <v>64</v>
      </c>
      <c r="Q70" s="8" t="s">
        <v>111</v>
      </c>
    </row>
    <row r="71" spans="1:17" ht="16" x14ac:dyDescent="0.45">
      <c r="A71" s="8" t="s">
        <v>214</v>
      </c>
      <c r="B71" s="23">
        <v>45689</v>
      </c>
      <c r="C71" s="8" t="s">
        <v>81</v>
      </c>
      <c r="D71" s="8" t="s">
        <v>59</v>
      </c>
      <c r="E71" s="8" t="s">
        <v>177</v>
      </c>
      <c r="F71" s="8" t="s">
        <v>39</v>
      </c>
      <c r="G71" s="8" t="s">
        <v>83</v>
      </c>
      <c r="H71" s="8" t="s">
        <v>62</v>
      </c>
      <c r="I71" s="8" t="s">
        <v>104</v>
      </c>
      <c r="J71" s="8">
        <v>88</v>
      </c>
      <c r="K71" s="8">
        <v>60</v>
      </c>
      <c r="L71" s="8">
        <v>13</v>
      </c>
      <c r="M71" s="24">
        <v>4.2</v>
      </c>
      <c r="N71" s="15">
        <v>49000</v>
      </c>
      <c r="O71" s="15">
        <v>53500</v>
      </c>
      <c r="P71" s="8" t="s">
        <v>64</v>
      </c>
      <c r="Q71" s="8" t="s">
        <v>118</v>
      </c>
    </row>
    <row r="72" spans="1:17" ht="16" x14ac:dyDescent="0.45">
      <c r="A72" s="8" t="s">
        <v>215</v>
      </c>
      <c r="B72" s="23">
        <v>45690</v>
      </c>
      <c r="C72" s="8" t="s">
        <v>145</v>
      </c>
      <c r="D72" s="8" t="s">
        <v>59</v>
      </c>
      <c r="E72" s="8" t="s">
        <v>95</v>
      </c>
      <c r="F72" s="8" t="s">
        <v>40</v>
      </c>
      <c r="G72" s="8" t="s">
        <v>69</v>
      </c>
      <c r="H72" s="8" t="s">
        <v>77</v>
      </c>
      <c r="I72" s="8" t="s">
        <v>78</v>
      </c>
      <c r="J72" s="8">
        <v>155</v>
      </c>
      <c r="K72" s="8">
        <v>0</v>
      </c>
      <c r="L72" s="8">
        <v>0</v>
      </c>
      <c r="M72" s="24"/>
      <c r="N72" s="15">
        <v>58000</v>
      </c>
      <c r="O72" s="15">
        <v>5800</v>
      </c>
      <c r="P72" s="8" t="s">
        <v>96</v>
      </c>
      <c r="Q72" s="8" t="s">
        <v>159</v>
      </c>
    </row>
    <row r="73" spans="1:17" ht="16" x14ac:dyDescent="0.45">
      <c r="A73" s="8" t="s">
        <v>216</v>
      </c>
      <c r="B73" s="23">
        <v>45692</v>
      </c>
      <c r="C73" s="8" t="s">
        <v>99</v>
      </c>
      <c r="D73" s="8" t="s">
        <v>67</v>
      </c>
      <c r="E73" s="8" t="s">
        <v>152</v>
      </c>
      <c r="F73" s="8" t="s">
        <v>40</v>
      </c>
      <c r="G73" s="8" t="s">
        <v>69</v>
      </c>
      <c r="H73" s="8" t="s">
        <v>62</v>
      </c>
      <c r="I73" s="8" t="s">
        <v>117</v>
      </c>
      <c r="J73" s="8">
        <v>100</v>
      </c>
      <c r="K73" s="8">
        <v>87</v>
      </c>
      <c r="L73" s="8">
        <v>33</v>
      </c>
      <c r="M73" s="24">
        <v>4.3</v>
      </c>
      <c r="N73" s="15">
        <v>51500</v>
      </c>
      <c r="O73" s="15">
        <v>43400</v>
      </c>
      <c r="P73" s="8" t="s">
        <v>64</v>
      </c>
      <c r="Q73" s="8" t="s">
        <v>217</v>
      </c>
    </row>
    <row r="74" spans="1:17" ht="16" x14ac:dyDescent="0.45">
      <c r="A74" s="8" t="s">
        <v>218</v>
      </c>
      <c r="B74" s="23">
        <v>45694</v>
      </c>
      <c r="C74" s="8" t="s">
        <v>74</v>
      </c>
      <c r="D74" s="8" t="s">
        <v>120</v>
      </c>
      <c r="E74" s="8" t="s">
        <v>172</v>
      </c>
      <c r="F74" s="8" t="s">
        <v>37</v>
      </c>
      <c r="G74" s="8" t="s">
        <v>89</v>
      </c>
      <c r="H74" s="8" t="s">
        <v>62</v>
      </c>
      <c r="I74" s="8" t="s">
        <v>117</v>
      </c>
      <c r="J74" s="8">
        <v>118</v>
      </c>
      <c r="K74" s="8">
        <v>102</v>
      </c>
      <c r="L74" s="8">
        <v>191</v>
      </c>
      <c r="M74" s="24">
        <v>4.0999999999999996</v>
      </c>
      <c r="N74" s="15">
        <v>76500</v>
      </c>
      <c r="O74" s="15">
        <v>85800</v>
      </c>
      <c r="P74" s="8" t="s">
        <v>64</v>
      </c>
      <c r="Q74" s="8" t="s">
        <v>137</v>
      </c>
    </row>
    <row r="75" spans="1:17" ht="16" x14ac:dyDescent="0.45">
      <c r="A75" s="8" t="s">
        <v>219</v>
      </c>
      <c r="B75" s="23">
        <v>45699</v>
      </c>
      <c r="C75" s="8" t="s">
        <v>99</v>
      </c>
      <c r="D75" s="8" t="s">
        <v>67</v>
      </c>
      <c r="E75" s="8" t="s">
        <v>212</v>
      </c>
      <c r="F75" s="8" t="s">
        <v>41</v>
      </c>
      <c r="G75" s="8" t="s">
        <v>61</v>
      </c>
      <c r="H75" s="8" t="s">
        <v>77</v>
      </c>
      <c r="I75" s="8" t="s">
        <v>78</v>
      </c>
      <c r="J75" s="8">
        <v>159</v>
      </c>
      <c r="K75" s="8">
        <v>82</v>
      </c>
      <c r="L75" s="8">
        <v>185</v>
      </c>
      <c r="M75" s="24">
        <v>3.8</v>
      </c>
      <c r="N75" s="15">
        <v>30000</v>
      </c>
      <c r="O75" s="15">
        <v>24900</v>
      </c>
      <c r="P75" s="8" t="s">
        <v>64</v>
      </c>
      <c r="Q75" s="8" t="s">
        <v>111</v>
      </c>
    </row>
    <row r="76" spans="1:17" ht="16" x14ac:dyDescent="0.45">
      <c r="A76" s="8" t="s">
        <v>220</v>
      </c>
      <c r="B76" s="23">
        <v>45701</v>
      </c>
      <c r="C76" s="8" t="s">
        <v>74</v>
      </c>
      <c r="D76" s="8" t="s">
        <v>67</v>
      </c>
      <c r="E76" s="8" t="s">
        <v>68</v>
      </c>
      <c r="F76" s="8" t="s">
        <v>40</v>
      </c>
      <c r="G76" s="8" t="s">
        <v>69</v>
      </c>
      <c r="H76" s="8" t="s">
        <v>62</v>
      </c>
      <c r="I76" s="8" t="s">
        <v>63</v>
      </c>
      <c r="J76" s="8">
        <v>101</v>
      </c>
      <c r="K76" s="8">
        <v>87</v>
      </c>
      <c r="L76" s="8">
        <v>20</v>
      </c>
      <c r="M76" s="24">
        <v>3.9</v>
      </c>
      <c r="N76" s="15">
        <v>47500</v>
      </c>
      <c r="O76" s="15">
        <v>45500</v>
      </c>
      <c r="P76" s="8" t="s">
        <v>64</v>
      </c>
      <c r="Q76" s="8" t="s">
        <v>140</v>
      </c>
    </row>
    <row r="77" spans="1:17" ht="16" x14ac:dyDescent="0.45">
      <c r="A77" s="8" t="s">
        <v>221</v>
      </c>
      <c r="B77" s="23">
        <v>45701</v>
      </c>
      <c r="C77" s="8" t="s">
        <v>74</v>
      </c>
      <c r="D77" s="8" t="s">
        <v>120</v>
      </c>
      <c r="E77" s="8" t="s">
        <v>139</v>
      </c>
      <c r="F77" s="8" t="s">
        <v>39</v>
      </c>
      <c r="G77" s="8" t="s">
        <v>83</v>
      </c>
      <c r="H77" s="8" t="s">
        <v>70</v>
      </c>
      <c r="I77" s="8" t="s">
        <v>63</v>
      </c>
      <c r="J77" s="8">
        <v>114</v>
      </c>
      <c r="K77" s="8">
        <v>83</v>
      </c>
      <c r="L77" s="8">
        <v>51</v>
      </c>
      <c r="M77" s="24">
        <v>4.0999999999999996</v>
      </c>
      <c r="N77" s="15">
        <v>82500</v>
      </c>
      <c r="O77" s="15">
        <v>63900</v>
      </c>
      <c r="P77" s="8" t="s">
        <v>64</v>
      </c>
      <c r="Q77" s="8" t="s">
        <v>124</v>
      </c>
    </row>
    <row r="78" spans="1:17" ht="16" x14ac:dyDescent="0.45">
      <c r="A78" s="8" t="s">
        <v>222</v>
      </c>
      <c r="B78" s="23">
        <v>45702</v>
      </c>
      <c r="C78" s="8" t="s">
        <v>113</v>
      </c>
      <c r="D78" s="8" t="s">
        <v>67</v>
      </c>
      <c r="E78" s="8" t="s">
        <v>123</v>
      </c>
      <c r="F78" s="8" t="s">
        <v>38</v>
      </c>
      <c r="G78" s="8" t="s">
        <v>101</v>
      </c>
      <c r="H78" s="8" t="s">
        <v>62</v>
      </c>
      <c r="I78" s="8" t="s">
        <v>71</v>
      </c>
      <c r="J78" s="8">
        <v>76</v>
      </c>
      <c r="K78" s="8">
        <v>75</v>
      </c>
      <c r="L78" s="8">
        <v>20</v>
      </c>
      <c r="M78" s="24">
        <v>4.3</v>
      </c>
      <c r="N78" s="15">
        <v>33500</v>
      </c>
      <c r="O78" s="15">
        <v>27900</v>
      </c>
      <c r="P78" s="8" t="s">
        <v>64</v>
      </c>
      <c r="Q78" s="8" t="s">
        <v>86</v>
      </c>
    </row>
    <row r="79" spans="1:17" ht="16" x14ac:dyDescent="0.45">
      <c r="A79" s="8" t="s">
        <v>223</v>
      </c>
      <c r="B79" s="23">
        <v>45703</v>
      </c>
      <c r="C79" s="8" t="s">
        <v>81</v>
      </c>
      <c r="D79" s="8" t="s">
        <v>59</v>
      </c>
      <c r="E79" s="8" t="s">
        <v>107</v>
      </c>
      <c r="F79" s="8" t="s">
        <v>36</v>
      </c>
      <c r="G79" s="8" t="s">
        <v>108</v>
      </c>
      <c r="H79" s="8" t="s">
        <v>62</v>
      </c>
      <c r="I79" s="8" t="s">
        <v>104</v>
      </c>
      <c r="J79" s="8">
        <v>140</v>
      </c>
      <c r="K79" s="8">
        <v>105</v>
      </c>
      <c r="L79" s="8">
        <v>61</v>
      </c>
      <c r="M79" s="24">
        <v>4.9000000000000004</v>
      </c>
      <c r="N79" s="15">
        <v>81000</v>
      </c>
      <c r="O79" s="15">
        <v>91500</v>
      </c>
      <c r="P79" s="8" t="s">
        <v>64</v>
      </c>
      <c r="Q79" s="8" t="s">
        <v>224</v>
      </c>
    </row>
    <row r="80" spans="1:17" ht="16" x14ac:dyDescent="0.45">
      <c r="A80" s="8" t="s">
        <v>225</v>
      </c>
      <c r="B80" s="23">
        <v>45704</v>
      </c>
      <c r="C80" s="8" t="s">
        <v>145</v>
      </c>
      <c r="D80" s="8" t="s">
        <v>59</v>
      </c>
      <c r="E80" s="8" t="s">
        <v>100</v>
      </c>
      <c r="F80" s="8" t="s">
        <v>38</v>
      </c>
      <c r="G80" s="8" t="s">
        <v>101</v>
      </c>
      <c r="H80" s="8" t="s">
        <v>62</v>
      </c>
      <c r="I80" s="8" t="s">
        <v>104</v>
      </c>
      <c r="J80" s="8">
        <v>95</v>
      </c>
      <c r="K80" s="8">
        <v>54</v>
      </c>
      <c r="L80" s="8">
        <v>32</v>
      </c>
      <c r="M80" s="24">
        <v>4.3</v>
      </c>
      <c r="N80" s="15">
        <v>45000</v>
      </c>
      <c r="O80" s="15">
        <v>40800</v>
      </c>
      <c r="P80" s="8" t="s">
        <v>64</v>
      </c>
      <c r="Q80" s="8" t="s">
        <v>142</v>
      </c>
    </row>
    <row r="81" spans="1:17" ht="16" x14ac:dyDescent="0.45">
      <c r="A81" s="8" t="s">
        <v>226</v>
      </c>
      <c r="B81" s="23">
        <v>45708</v>
      </c>
      <c r="C81" s="8" t="s">
        <v>74</v>
      </c>
      <c r="D81" s="8" t="s">
        <v>120</v>
      </c>
      <c r="E81" s="8" t="s">
        <v>92</v>
      </c>
      <c r="F81" s="8" t="s">
        <v>41</v>
      </c>
      <c r="G81" s="8" t="s">
        <v>61</v>
      </c>
      <c r="H81" s="8" t="s">
        <v>62</v>
      </c>
      <c r="I81" s="8" t="s">
        <v>63</v>
      </c>
      <c r="J81" s="8">
        <v>175</v>
      </c>
      <c r="K81" s="8">
        <v>131</v>
      </c>
      <c r="L81" s="8">
        <v>163</v>
      </c>
      <c r="M81" s="24">
        <v>4.3</v>
      </c>
      <c r="N81" s="15">
        <v>35500</v>
      </c>
      <c r="O81" s="15">
        <v>35100</v>
      </c>
      <c r="P81" s="8" t="s">
        <v>64</v>
      </c>
      <c r="Q81" s="8" t="s">
        <v>227</v>
      </c>
    </row>
    <row r="82" spans="1:17" ht="16" x14ac:dyDescent="0.45">
      <c r="A82" s="8" t="s">
        <v>228</v>
      </c>
      <c r="B82" s="23">
        <v>45711</v>
      </c>
      <c r="C82" s="8" t="s">
        <v>145</v>
      </c>
      <c r="D82" s="8" t="s">
        <v>59</v>
      </c>
      <c r="E82" s="8" t="s">
        <v>95</v>
      </c>
      <c r="F82" s="8" t="s">
        <v>40</v>
      </c>
      <c r="G82" s="8" t="s">
        <v>69</v>
      </c>
      <c r="H82" s="8" t="s">
        <v>70</v>
      </c>
      <c r="I82" s="8" t="s">
        <v>63</v>
      </c>
      <c r="J82" s="8">
        <v>129</v>
      </c>
      <c r="K82" s="8">
        <v>84</v>
      </c>
      <c r="L82" s="8">
        <v>72</v>
      </c>
      <c r="M82" s="24">
        <v>4.0999999999999996</v>
      </c>
      <c r="N82" s="15">
        <v>28000</v>
      </c>
      <c r="O82" s="15">
        <v>22200</v>
      </c>
      <c r="P82" s="8" t="s">
        <v>64</v>
      </c>
      <c r="Q82" s="8" t="s">
        <v>137</v>
      </c>
    </row>
    <row r="83" spans="1:17" ht="16" x14ac:dyDescent="0.45">
      <c r="A83" s="8" t="s">
        <v>229</v>
      </c>
      <c r="B83" s="23">
        <v>45712</v>
      </c>
      <c r="C83" s="8" t="s">
        <v>170</v>
      </c>
      <c r="D83" s="8" t="s">
        <v>75</v>
      </c>
      <c r="E83" s="8" t="s">
        <v>172</v>
      </c>
      <c r="F83" s="8" t="s">
        <v>37</v>
      </c>
      <c r="G83" s="8" t="s">
        <v>89</v>
      </c>
      <c r="H83" s="8" t="s">
        <v>77</v>
      </c>
      <c r="I83" s="8" t="s">
        <v>78</v>
      </c>
      <c r="J83" s="8">
        <v>172</v>
      </c>
      <c r="K83" s="8">
        <v>99</v>
      </c>
      <c r="L83" s="8">
        <v>82</v>
      </c>
      <c r="M83" s="24">
        <v>3.8</v>
      </c>
      <c r="N83" s="15">
        <v>49500</v>
      </c>
      <c r="O83" s="15">
        <v>47900</v>
      </c>
      <c r="P83" s="8" t="s">
        <v>64</v>
      </c>
      <c r="Q83" s="8" t="s">
        <v>137</v>
      </c>
    </row>
    <row r="84" spans="1:17" ht="16" x14ac:dyDescent="0.45">
      <c r="A84" s="8" t="s">
        <v>230</v>
      </c>
      <c r="B84" s="23">
        <v>45714</v>
      </c>
      <c r="C84" s="8" t="s">
        <v>58</v>
      </c>
      <c r="D84" s="8" t="s">
        <v>67</v>
      </c>
      <c r="E84" s="8" t="s">
        <v>129</v>
      </c>
      <c r="F84" s="8" t="s">
        <v>40</v>
      </c>
      <c r="G84" s="8" t="s">
        <v>69</v>
      </c>
      <c r="H84" s="8" t="s">
        <v>77</v>
      </c>
      <c r="I84" s="8" t="s">
        <v>78</v>
      </c>
      <c r="J84" s="8">
        <v>256</v>
      </c>
      <c r="K84" s="8">
        <v>144</v>
      </c>
      <c r="L84" s="8">
        <v>69</v>
      </c>
      <c r="M84" s="24">
        <v>3.8</v>
      </c>
      <c r="N84" s="15">
        <v>9000</v>
      </c>
      <c r="O84" s="15">
        <v>9500</v>
      </c>
      <c r="P84" s="8" t="s">
        <v>64</v>
      </c>
      <c r="Q84" s="8" t="s">
        <v>168</v>
      </c>
    </row>
    <row r="85" spans="1:17" ht="16" x14ac:dyDescent="0.45">
      <c r="A85" s="8" t="s">
        <v>231</v>
      </c>
      <c r="B85" s="23">
        <v>45715</v>
      </c>
      <c r="C85" s="8" t="s">
        <v>74</v>
      </c>
      <c r="D85" s="8" t="s">
        <v>59</v>
      </c>
      <c r="E85" s="8" t="s">
        <v>132</v>
      </c>
      <c r="F85" s="8" t="s">
        <v>37</v>
      </c>
      <c r="G85" s="8" t="s">
        <v>89</v>
      </c>
      <c r="H85" s="8" t="s">
        <v>62</v>
      </c>
      <c r="I85" s="8" t="s">
        <v>104</v>
      </c>
      <c r="J85" s="8">
        <v>120</v>
      </c>
      <c r="K85" s="8">
        <v>86</v>
      </c>
      <c r="L85" s="8">
        <v>81</v>
      </c>
      <c r="M85" s="24">
        <v>4.3</v>
      </c>
      <c r="N85" s="15">
        <v>49000</v>
      </c>
      <c r="O85" s="15">
        <v>50400</v>
      </c>
      <c r="P85" s="8" t="s">
        <v>64</v>
      </c>
      <c r="Q85" s="8" t="s">
        <v>86</v>
      </c>
    </row>
    <row r="86" spans="1:17" ht="16" x14ac:dyDescent="0.45">
      <c r="A86" s="8" t="s">
        <v>232</v>
      </c>
      <c r="B86" s="23">
        <v>45715</v>
      </c>
      <c r="C86" s="8" t="s">
        <v>74</v>
      </c>
      <c r="D86" s="8" t="s">
        <v>75</v>
      </c>
      <c r="E86" s="8" t="s">
        <v>177</v>
      </c>
      <c r="F86" s="8" t="s">
        <v>39</v>
      </c>
      <c r="G86" s="8" t="s">
        <v>83</v>
      </c>
      <c r="H86" s="8" t="s">
        <v>156</v>
      </c>
      <c r="I86" s="8" t="s">
        <v>63</v>
      </c>
      <c r="J86" s="8">
        <v>43</v>
      </c>
      <c r="K86" s="8">
        <v>32</v>
      </c>
      <c r="L86" s="8">
        <v>22</v>
      </c>
      <c r="M86" s="24">
        <v>3.9</v>
      </c>
      <c r="N86" s="15">
        <v>16500</v>
      </c>
      <c r="O86" s="15">
        <v>17200</v>
      </c>
      <c r="P86" s="8" t="s">
        <v>64</v>
      </c>
      <c r="Q86" s="8" t="s">
        <v>140</v>
      </c>
    </row>
    <row r="87" spans="1:17" ht="16" x14ac:dyDescent="0.45">
      <c r="A87" s="8" t="s">
        <v>233</v>
      </c>
      <c r="B87" s="23">
        <v>45717</v>
      </c>
      <c r="C87" s="8" t="s">
        <v>81</v>
      </c>
      <c r="D87" s="8" t="s">
        <v>59</v>
      </c>
      <c r="E87" s="8" t="s">
        <v>60</v>
      </c>
      <c r="F87" s="8" t="s">
        <v>41</v>
      </c>
      <c r="G87" s="8" t="s">
        <v>61</v>
      </c>
      <c r="H87" s="8" t="s">
        <v>77</v>
      </c>
      <c r="I87" s="8" t="s">
        <v>78</v>
      </c>
      <c r="J87" s="8">
        <v>94</v>
      </c>
      <c r="K87" s="8">
        <v>53</v>
      </c>
      <c r="L87" s="8">
        <v>112</v>
      </c>
      <c r="M87" s="24">
        <v>3.6</v>
      </c>
      <c r="N87" s="15">
        <v>14500</v>
      </c>
      <c r="O87" s="15">
        <v>15000</v>
      </c>
      <c r="P87" s="8" t="s">
        <v>64</v>
      </c>
      <c r="Q87" s="8" t="s">
        <v>234</v>
      </c>
    </row>
    <row r="88" spans="1:17" ht="16" x14ac:dyDescent="0.45">
      <c r="A88" s="8" t="s">
        <v>235</v>
      </c>
      <c r="B88" s="23">
        <v>45718</v>
      </c>
      <c r="C88" s="8" t="s">
        <v>145</v>
      </c>
      <c r="D88" s="8" t="s">
        <v>59</v>
      </c>
      <c r="E88" s="8" t="s">
        <v>116</v>
      </c>
      <c r="F88" s="8" t="s">
        <v>39</v>
      </c>
      <c r="G88" s="8" t="s">
        <v>83</v>
      </c>
      <c r="H88" s="8" t="s">
        <v>62</v>
      </c>
      <c r="I88" s="8" t="s">
        <v>104</v>
      </c>
      <c r="J88" s="8">
        <v>155</v>
      </c>
      <c r="K88" s="8">
        <v>115</v>
      </c>
      <c r="L88" s="8">
        <v>69</v>
      </c>
      <c r="M88" s="24">
        <v>4.5</v>
      </c>
      <c r="N88" s="15">
        <v>12500</v>
      </c>
      <c r="O88" s="15">
        <v>11000</v>
      </c>
      <c r="P88" s="8" t="s">
        <v>64</v>
      </c>
      <c r="Q88" s="8" t="s">
        <v>111</v>
      </c>
    </row>
    <row r="89" spans="1:17" ht="16" x14ac:dyDescent="0.45">
      <c r="A89" s="8" t="s">
        <v>236</v>
      </c>
      <c r="B89" s="23">
        <v>45724</v>
      </c>
      <c r="C89" s="8" t="s">
        <v>81</v>
      </c>
      <c r="D89" s="8" t="s">
        <v>59</v>
      </c>
      <c r="E89" s="8" t="s">
        <v>100</v>
      </c>
      <c r="F89" s="8" t="s">
        <v>38</v>
      </c>
      <c r="G89" s="8" t="s">
        <v>101</v>
      </c>
      <c r="H89" s="8" t="s">
        <v>62</v>
      </c>
      <c r="I89" s="8" t="s">
        <v>63</v>
      </c>
      <c r="J89" s="8">
        <v>32</v>
      </c>
      <c r="K89" s="8">
        <v>17</v>
      </c>
      <c r="L89" s="8">
        <v>5</v>
      </c>
      <c r="M89" s="24">
        <v>4</v>
      </c>
      <c r="N89" s="15">
        <v>37500</v>
      </c>
      <c r="O89" s="15">
        <v>32100</v>
      </c>
      <c r="P89" s="8" t="s">
        <v>64</v>
      </c>
      <c r="Q89" s="8" t="s">
        <v>124</v>
      </c>
    </row>
    <row r="90" spans="1:17" ht="16" x14ac:dyDescent="0.45">
      <c r="A90" s="8" t="s">
        <v>237</v>
      </c>
      <c r="B90" s="23">
        <v>45726</v>
      </c>
      <c r="C90" s="8" t="s">
        <v>170</v>
      </c>
      <c r="D90" s="8" t="s">
        <v>67</v>
      </c>
      <c r="E90" s="8" t="s">
        <v>132</v>
      </c>
      <c r="F90" s="8" t="s">
        <v>37</v>
      </c>
      <c r="G90" s="8" t="s">
        <v>89</v>
      </c>
      <c r="H90" s="8" t="s">
        <v>77</v>
      </c>
      <c r="I90" s="8" t="s">
        <v>78</v>
      </c>
      <c r="J90" s="8">
        <v>225</v>
      </c>
      <c r="K90" s="8">
        <v>127</v>
      </c>
      <c r="L90" s="8">
        <v>162</v>
      </c>
      <c r="M90" s="24">
        <v>3.6</v>
      </c>
      <c r="N90" s="15">
        <v>36000</v>
      </c>
      <c r="O90" s="15">
        <v>30000</v>
      </c>
      <c r="P90" s="8" t="s">
        <v>64</v>
      </c>
      <c r="Q90" s="8" t="s">
        <v>86</v>
      </c>
    </row>
    <row r="91" spans="1:17" ht="16" x14ac:dyDescent="0.45">
      <c r="A91" s="8" t="s">
        <v>238</v>
      </c>
      <c r="B91" s="23">
        <v>45726</v>
      </c>
      <c r="C91" s="8" t="s">
        <v>170</v>
      </c>
      <c r="D91" s="8" t="s">
        <v>67</v>
      </c>
      <c r="E91" s="8" t="s">
        <v>152</v>
      </c>
      <c r="F91" s="8" t="s">
        <v>40</v>
      </c>
      <c r="G91" s="8" t="s">
        <v>69</v>
      </c>
      <c r="H91" s="8" t="s">
        <v>77</v>
      </c>
      <c r="I91" s="8" t="s">
        <v>78</v>
      </c>
      <c r="J91" s="8">
        <v>217</v>
      </c>
      <c r="K91" s="8">
        <v>113</v>
      </c>
      <c r="L91" s="8">
        <v>97</v>
      </c>
      <c r="M91" s="24">
        <v>3.9</v>
      </c>
      <c r="N91" s="15">
        <v>9500</v>
      </c>
      <c r="O91" s="15">
        <v>8700</v>
      </c>
      <c r="P91" s="8" t="s">
        <v>64</v>
      </c>
      <c r="Q91" s="8" t="s">
        <v>239</v>
      </c>
    </row>
    <row r="92" spans="1:17" ht="16" x14ac:dyDescent="0.45">
      <c r="A92" s="8" t="s">
        <v>240</v>
      </c>
      <c r="B92" s="23">
        <v>45729</v>
      </c>
      <c r="C92" s="8" t="s">
        <v>74</v>
      </c>
      <c r="D92" s="8" t="s">
        <v>75</v>
      </c>
      <c r="E92" s="8" t="s">
        <v>95</v>
      </c>
      <c r="F92" s="8" t="s">
        <v>40</v>
      </c>
      <c r="G92" s="8" t="s">
        <v>69</v>
      </c>
      <c r="H92" s="8" t="s">
        <v>77</v>
      </c>
      <c r="I92" s="8" t="s">
        <v>78</v>
      </c>
      <c r="J92" s="8">
        <v>288</v>
      </c>
      <c r="K92" s="8">
        <v>149</v>
      </c>
      <c r="L92" s="8">
        <v>68</v>
      </c>
      <c r="M92" s="24">
        <v>3.8</v>
      </c>
      <c r="N92" s="15">
        <v>84000</v>
      </c>
      <c r="O92" s="15">
        <v>78800</v>
      </c>
      <c r="P92" s="8" t="s">
        <v>64</v>
      </c>
      <c r="Q92" s="8" t="s">
        <v>93</v>
      </c>
    </row>
    <row r="93" spans="1:17" ht="16" x14ac:dyDescent="0.45">
      <c r="A93" s="8" t="s">
        <v>241</v>
      </c>
      <c r="B93" s="23">
        <v>45729</v>
      </c>
      <c r="C93" s="8" t="s">
        <v>74</v>
      </c>
      <c r="D93" s="8" t="s">
        <v>75</v>
      </c>
      <c r="E93" s="8" t="s">
        <v>132</v>
      </c>
      <c r="F93" s="8" t="s">
        <v>37</v>
      </c>
      <c r="G93" s="8" t="s">
        <v>89</v>
      </c>
      <c r="H93" s="8" t="s">
        <v>62</v>
      </c>
      <c r="I93" s="8" t="s">
        <v>71</v>
      </c>
      <c r="J93" s="8">
        <v>82</v>
      </c>
      <c r="K93" s="8">
        <v>56</v>
      </c>
      <c r="L93" s="8">
        <v>46</v>
      </c>
      <c r="M93" s="24">
        <v>4.0999999999999996</v>
      </c>
      <c r="N93" s="15">
        <v>16000</v>
      </c>
      <c r="O93" s="15">
        <v>12400</v>
      </c>
      <c r="P93" s="8" t="s">
        <v>64</v>
      </c>
      <c r="Q93" s="8" t="s">
        <v>65</v>
      </c>
    </row>
    <row r="94" spans="1:17" ht="16" x14ac:dyDescent="0.45">
      <c r="A94" s="8" t="s">
        <v>242</v>
      </c>
      <c r="B94" s="23">
        <v>45730</v>
      </c>
      <c r="C94" s="8" t="s">
        <v>113</v>
      </c>
      <c r="D94" s="8" t="s">
        <v>75</v>
      </c>
      <c r="E94" s="8" t="s">
        <v>123</v>
      </c>
      <c r="F94" s="8" t="s">
        <v>38</v>
      </c>
      <c r="G94" s="8" t="s">
        <v>101</v>
      </c>
      <c r="H94" s="8" t="s">
        <v>167</v>
      </c>
      <c r="I94" s="8" t="s">
        <v>85</v>
      </c>
      <c r="J94" s="8">
        <v>78</v>
      </c>
      <c r="K94" s="8">
        <v>57</v>
      </c>
      <c r="L94" s="8">
        <v>44</v>
      </c>
      <c r="M94" s="24">
        <v>4</v>
      </c>
      <c r="N94" s="15">
        <v>30500</v>
      </c>
      <c r="O94" s="15">
        <v>24500</v>
      </c>
      <c r="P94" s="8" t="s">
        <v>64</v>
      </c>
      <c r="Q94" s="8" t="s">
        <v>97</v>
      </c>
    </row>
    <row r="95" spans="1:17" ht="16" x14ac:dyDescent="0.45">
      <c r="A95" s="8" t="s">
        <v>243</v>
      </c>
      <c r="B95" s="23">
        <v>45735</v>
      </c>
      <c r="C95" s="8" t="s">
        <v>58</v>
      </c>
      <c r="D95" s="8" t="s">
        <v>67</v>
      </c>
      <c r="E95" s="8" t="s">
        <v>150</v>
      </c>
      <c r="F95" s="8" t="s">
        <v>36</v>
      </c>
      <c r="G95" s="8" t="s">
        <v>108</v>
      </c>
      <c r="H95" s="8" t="s">
        <v>77</v>
      </c>
      <c r="I95" s="8" t="s">
        <v>78</v>
      </c>
      <c r="J95" s="8">
        <v>202</v>
      </c>
      <c r="K95" s="8">
        <v>99</v>
      </c>
      <c r="L95" s="8">
        <v>31</v>
      </c>
      <c r="M95" s="24">
        <v>3.9</v>
      </c>
      <c r="N95" s="15">
        <v>57500</v>
      </c>
      <c r="O95" s="15">
        <v>63600</v>
      </c>
      <c r="P95" s="8" t="s">
        <v>64</v>
      </c>
      <c r="Q95" s="8" t="s">
        <v>118</v>
      </c>
    </row>
    <row r="96" spans="1:17" ht="16" x14ac:dyDescent="0.45">
      <c r="A96" s="8" t="s">
        <v>244</v>
      </c>
      <c r="B96" s="23">
        <v>45740</v>
      </c>
      <c r="C96" s="8" t="s">
        <v>170</v>
      </c>
      <c r="D96" s="8" t="s">
        <v>120</v>
      </c>
      <c r="E96" s="8" t="s">
        <v>121</v>
      </c>
      <c r="F96" s="8" t="s">
        <v>38</v>
      </c>
      <c r="G96" s="8" t="s">
        <v>101</v>
      </c>
      <c r="H96" s="8" t="s">
        <v>146</v>
      </c>
      <c r="I96" s="8" t="s">
        <v>63</v>
      </c>
      <c r="J96" s="8">
        <v>58</v>
      </c>
      <c r="K96" s="8">
        <v>53</v>
      </c>
      <c r="L96" s="8">
        <v>31</v>
      </c>
      <c r="M96" s="24">
        <v>3.7</v>
      </c>
      <c r="N96" s="15">
        <v>24000</v>
      </c>
      <c r="O96" s="15">
        <v>18800</v>
      </c>
      <c r="P96" s="8" t="s">
        <v>64</v>
      </c>
      <c r="Q96" s="8" t="s">
        <v>93</v>
      </c>
    </row>
    <row r="97" spans="1:17" ht="16" x14ac:dyDescent="0.45">
      <c r="A97" s="8" t="s">
        <v>245</v>
      </c>
      <c r="B97" s="23">
        <v>45740</v>
      </c>
      <c r="C97" s="8" t="s">
        <v>170</v>
      </c>
      <c r="D97" s="8" t="s">
        <v>67</v>
      </c>
      <c r="E97" s="8" t="s">
        <v>60</v>
      </c>
      <c r="F97" s="8" t="s">
        <v>41</v>
      </c>
      <c r="G97" s="8" t="s">
        <v>61</v>
      </c>
      <c r="H97" s="8" t="s">
        <v>62</v>
      </c>
      <c r="I97" s="8" t="s">
        <v>104</v>
      </c>
      <c r="J97" s="8">
        <v>66</v>
      </c>
      <c r="K97" s="8">
        <v>54</v>
      </c>
      <c r="L97" s="8">
        <v>61</v>
      </c>
      <c r="M97" s="24">
        <v>4</v>
      </c>
      <c r="N97" s="15">
        <v>83000</v>
      </c>
      <c r="O97" s="15">
        <v>76400</v>
      </c>
      <c r="P97" s="8" t="s">
        <v>64</v>
      </c>
      <c r="Q97" s="8" t="s">
        <v>111</v>
      </c>
    </row>
    <row r="98" spans="1:17" ht="16" x14ac:dyDescent="0.45">
      <c r="A98" s="8" t="s">
        <v>246</v>
      </c>
      <c r="B98" s="23">
        <v>45741</v>
      </c>
      <c r="C98" s="8" t="s">
        <v>99</v>
      </c>
      <c r="D98" s="8" t="s">
        <v>120</v>
      </c>
      <c r="E98" s="8" t="s">
        <v>247</v>
      </c>
      <c r="F98" s="8" t="s">
        <v>36</v>
      </c>
      <c r="G98" s="8" t="s">
        <v>108</v>
      </c>
      <c r="H98" s="8" t="s">
        <v>62</v>
      </c>
      <c r="I98" s="8" t="s">
        <v>104</v>
      </c>
      <c r="J98" s="8">
        <v>157</v>
      </c>
      <c r="K98" s="8">
        <v>98</v>
      </c>
      <c r="L98" s="8">
        <v>85</v>
      </c>
      <c r="M98" s="24">
        <v>4.4000000000000004</v>
      </c>
      <c r="N98" s="15">
        <v>15500</v>
      </c>
      <c r="O98" s="15">
        <v>19400</v>
      </c>
      <c r="P98" s="8" t="s">
        <v>64</v>
      </c>
      <c r="Q98" s="8" t="s">
        <v>65</v>
      </c>
    </row>
    <row r="99" spans="1:17" ht="16" x14ac:dyDescent="0.45">
      <c r="A99" s="8" t="s">
        <v>248</v>
      </c>
      <c r="B99" s="23">
        <v>45742</v>
      </c>
      <c r="C99" s="8" t="s">
        <v>58</v>
      </c>
      <c r="D99" s="8" t="s">
        <v>59</v>
      </c>
      <c r="E99" s="8" t="s">
        <v>103</v>
      </c>
      <c r="F99" s="8" t="s">
        <v>37</v>
      </c>
      <c r="G99" s="8" t="s">
        <v>89</v>
      </c>
      <c r="H99" s="8" t="s">
        <v>62</v>
      </c>
      <c r="I99" s="8" t="s">
        <v>117</v>
      </c>
      <c r="J99" s="8">
        <v>95</v>
      </c>
      <c r="K99" s="8">
        <v>76</v>
      </c>
      <c r="L99" s="8">
        <v>164</v>
      </c>
      <c r="M99" s="24">
        <v>4</v>
      </c>
      <c r="N99" s="15">
        <v>59000</v>
      </c>
      <c r="O99" s="15">
        <v>53200</v>
      </c>
      <c r="P99" s="8" t="s">
        <v>64</v>
      </c>
      <c r="Q99" s="8" t="s">
        <v>249</v>
      </c>
    </row>
    <row r="100" spans="1:17" ht="16" x14ac:dyDescent="0.45">
      <c r="A100" s="8" t="s">
        <v>250</v>
      </c>
      <c r="B100" s="23">
        <v>45743</v>
      </c>
      <c r="C100" s="8" t="s">
        <v>74</v>
      </c>
      <c r="D100" s="8" t="s">
        <v>75</v>
      </c>
      <c r="E100" s="8" t="s">
        <v>207</v>
      </c>
      <c r="F100" s="8" t="s">
        <v>37</v>
      </c>
      <c r="G100" s="8" t="s">
        <v>89</v>
      </c>
      <c r="H100" s="8" t="s">
        <v>156</v>
      </c>
      <c r="I100" s="8" t="s">
        <v>71</v>
      </c>
      <c r="J100" s="8">
        <v>104</v>
      </c>
      <c r="K100" s="8">
        <v>74</v>
      </c>
      <c r="L100" s="8">
        <v>106</v>
      </c>
      <c r="M100" s="24">
        <v>4</v>
      </c>
      <c r="N100" s="15">
        <v>70500</v>
      </c>
      <c r="O100" s="15">
        <v>57000</v>
      </c>
      <c r="P100" s="8" t="s">
        <v>64</v>
      </c>
      <c r="Q100" s="8" t="s">
        <v>118</v>
      </c>
    </row>
    <row r="101" spans="1:17" ht="16" x14ac:dyDescent="0.45">
      <c r="A101" s="8" t="s">
        <v>251</v>
      </c>
      <c r="B101" s="23">
        <v>45747</v>
      </c>
      <c r="C101" s="8" t="s">
        <v>170</v>
      </c>
      <c r="D101" s="8" t="s">
        <v>75</v>
      </c>
      <c r="E101" s="8" t="s">
        <v>82</v>
      </c>
      <c r="F101" s="8" t="s">
        <v>39</v>
      </c>
      <c r="G101" s="8" t="s">
        <v>83</v>
      </c>
      <c r="H101" s="8" t="s">
        <v>62</v>
      </c>
      <c r="I101" s="8" t="s">
        <v>63</v>
      </c>
      <c r="J101" s="8">
        <v>104</v>
      </c>
      <c r="K101" s="8">
        <v>79</v>
      </c>
      <c r="L101" s="8">
        <v>30</v>
      </c>
      <c r="M101" s="24">
        <v>3.8</v>
      </c>
      <c r="N101" s="15">
        <v>37000</v>
      </c>
      <c r="O101" s="15">
        <v>31400</v>
      </c>
      <c r="P101" s="8" t="s">
        <v>64</v>
      </c>
      <c r="Q101" s="8" t="s">
        <v>127</v>
      </c>
    </row>
    <row r="102" spans="1:17" ht="16" x14ac:dyDescent="0.45">
      <c r="A102" s="8" t="s">
        <v>252</v>
      </c>
      <c r="B102" s="23">
        <v>45750</v>
      </c>
      <c r="C102" s="8" t="s">
        <v>74</v>
      </c>
      <c r="D102" s="8" t="s">
        <v>75</v>
      </c>
      <c r="E102" s="8" t="s">
        <v>212</v>
      </c>
      <c r="F102" s="8" t="s">
        <v>41</v>
      </c>
      <c r="G102" s="8" t="s">
        <v>61</v>
      </c>
      <c r="H102" s="8" t="s">
        <v>62</v>
      </c>
      <c r="I102" s="8" t="s">
        <v>63</v>
      </c>
      <c r="J102" s="8">
        <v>78</v>
      </c>
      <c r="K102" s="8">
        <v>55</v>
      </c>
      <c r="L102" s="8">
        <v>59</v>
      </c>
      <c r="M102" s="24">
        <v>4.4000000000000004</v>
      </c>
      <c r="N102" s="15">
        <v>27500</v>
      </c>
      <c r="O102" s="15">
        <v>25400</v>
      </c>
      <c r="P102" s="8" t="s">
        <v>64</v>
      </c>
      <c r="Q102" s="8" t="s">
        <v>253</v>
      </c>
    </row>
    <row r="103" spans="1:17" ht="16" x14ac:dyDescent="0.45">
      <c r="A103" s="8" t="s">
        <v>254</v>
      </c>
      <c r="B103" s="23">
        <v>45750</v>
      </c>
      <c r="C103" s="8" t="s">
        <v>74</v>
      </c>
      <c r="D103" s="8" t="s">
        <v>120</v>
      </c>
      <c r="E103" s="8" t="s">
        <v>177</v>
      </c>
      <c r="F103" s="8" t="s">
        <v>39</v>
      </c>
      <c r="G103" s="8" t="s">
        <v>83</v>
      </c>
      <c r="H103" s="8" t="s">
        <v>62</v>
      </c>
      <c r="I103" s="8" t="s">
        <v>117</v>
      </c>
      <c r="J103" s="8">
        <v>37</v>
      </c>
      <c r="K103" s="8">
        <v>31</v>
      </c>
      <c r="L103" s="8">
        <v>13</v>
      </c>
      <c r="M103" s="24">
        <v>3.8</v>
      </c>
      <c r="N103" s="15">
        <v>16000</v>
      </c>
      <c r="O103" s="15">
        <v>16000</v>
      </c>
      <c r="P103" s="8" t="s">
        <v>64</v>
      </c>
      <c r="Q103" s="8" t="s">
        <v>142</v>
      </c>
    </row>
    <row r="104" spans="1:17" ht="16" x14ac:dyDescent="0.45">
      <c r="A104" s="8" t="s">
        <v>255</v>
      </c>
      <c r="B104" s="23">
        <v>45752</v>
      </c>
      <c r="C104" s="8" t="s">
        <v>81</v>
      </c>
      <c r="D104" s="8" t="s">
        <v>59</v>
      </c>
      <c r="E104" s="8" t="s">
        <v>123</v>
      </c>
      <c r="F104" s="8" t="s">
        <v>38</v>
      </c>
      <c r="G104" s="8" t="s">
        <v>101</v>
      </c>
      <c r="H104" s="8" t="s">
        <v>62</v>
      </c>
      <c r="I104" s="8" t="s">
        <v>104</v>
      </c>
      <c r="J104" s="8">
        <v>74</v>
      </c>
      <c r="K104" s="8">
        <v>43</v>
      </c>
      <c r="L104" s="8">
        <v>22</v>
      </c>
      <c r="M104" s="24">
        <v>4.2</v>
      </c>
      <c r="N104" s="15">
        <v>30500</v>
      </c>
      <c r="O104" s="15">
        <v>27300</v>
      </c>
      <c r="P104" s="8" t="s">
        <v>64</v>
      </c>
      <c r="Q104" s="8" t="s">
        <v>118</v>
      </c>
    </row>
    <row r="105" spans="1:17" ht="16" x14ac:dyDescent="0.45">
      <c r="A105" s="8" t="s">
        <v>256</v>
      </c>
      <c r="B105" s="23">
        <v>45752</v>
      </c>
      <c r="C105" s="8" t="s">
        <v>81</v>
      </c>
      <c r="D105" s="8" t="s">
        <v>59</v>
      </c>
      <c r="E105" s="8" t="s">
        <v>114</v>
      </c>
      <c r="F105" s="8" t="s">
        <v>39</v>
      </c>
      <c r="G105" s="8" t="s">
        <v>83</v>
      </c>
      <c r="H105" s="8" t="s">
        <v>183</v>
      </c>
      <c r="I105" s="8" t="s">
        <v>63</v>
      </c>
      <c r="J105" s="8">
        <v>102</v>
      </c>
      <c r="K105" s="8">
        <v>67</v>
      </c>
      <c r="L105" s="8">
        <v>31</v>
      </c>
      <c r="M105" s="24">
        <v>4.2</v>
      </c>
      <c r="N105" s="15">
        <v>42500</v>
      </c>
      <c r="O105" s="15">
        <v>40700</v>
      </c>
      <c r="P105" s="8" t="s">
        <v>64</v>
      </c>
      <c r="Q105" s="8" t="s">
        <v>93</v>
      </c>
    </row>
    <row r="106" spans="1:17" ht="16" x14ac:dyDescent="0.45">
      <c r="A106" s="8" t="s">
        <v>257</v>
      </c>
      <c r="B106" s="23">
        <v>45754</v>
      </c>
      <c r="C106" s="8" t="s">
        <v>170</v>
      </c>
      <c r="D106" s="8" t="s">
        <v>120</v>
      </c>
      <c r="E106" s="8" t="s">
        <v>177</v>
      </c>
      <c r="F106" s="8" t="s">
        <v>39</v>
      </c>
      <c r="G106" s="8" t="s">
        <v>83</v>
      </c>
      <c r="H106" s="8" t="s">
        <v>62</v>
      </c>
      <c r="I106" s="8" t="s">
        <v>85</v>
      </c>
      <c r="J106" s="8">
        <v>145</v>
      </c>
      <c r="K106" s="8">
        <v>116</v>
      </c>
      <c r="L106" s="8">
        <v>103</v>
      </c>
      <c r="M106" s="24">
        <v>3.8</v>
      </c>
      <c r="N106" s="15">
        <v>27000</v>
      </c>
      <c r="O106" s="15">
        <v>24700</v>
      </c>
      <c r="P106" s="8" t="s">
        <v>64</v>
      </c>
      <c r="Q106" s="8" t="s">
        <v>258</v>
      </c>
    </row>
    <row r="107" spans="1:17" ht="16" x14ac:dyDescent="0.45">
      <c r="A107" s="8" t="s">
        <v>259</v>
      </c>
      <c r="B107" s="23">
        <v>45755</v>
      </c>
      <c r="C107" s="8" t="s">
        <v>99</v>
      </c>
      <c r="D107" s="8" t="s">
        <v>120</v>
      </c>
      <c r="E107" s="8" t="s">
        <v>152</v>
      </c>
      <c r="F107" s="8" t="s">
        <v>40</v>
      </c>
      <c r="G107" s="8" t="s">
        <v>69</v>
      </c>
      <c r="H107" s="8" t="s">
        <v>62</v>
      </c>
      <c r="I107" s="8" t="s">
        <v>104</v>
      </c>
      <c r="J107" s="8">
        <v>117</v>
      </c>
      <c r="K107" s="8">
        <v>90</v>
      </c>
      <c r="L107" s="8">
        <v>24</v>
      </c>
      <c r="M107" s="24">
        <v>4.3</v>
      </c>
      <c r="N107" s="15">
        <v>36500</v>
      </c>
      <c r="O107" s="15">
        <v>29900</v>
      </c>
      <c r="P107" s="8" t="s">
        <v>64</v>
      </c>
      <c r="Q107" s="8" t="s">
        <v>260</v>
      </c>
    </row>
    <row r="108" spans="1:17" ht="16" x14ac:dyDescent="0.45">
      <c r="A108" s="8" t="s">
        <v>261</v>
      </c>
      <c r="B108" s="23">
        <v>45756</v>
      </c>
      <c r="C108" s="8" t="s">
        <v>58</v>
      </c>
      <c r="D108" s="8" t="s">
        <v>120</v>
      </c>
      <c r="E108" s="8" t="s">
        <v>262</v>
      </c>
      <c r="F108" s="8" t="s">
        <v>38</v>
      </c>
      <c r="G108" s="8" t="s">
        <v>101</v>
      </c>
      <c r="H108" s="8" t="s">
        <v>62</v>
      </c>
      <c r="I108" s="8" t="s">
        <v>63</v>
      </c>
      <c r="J108" s="8">
        <v>32</v>
      </c>
      <c r="K108" s="8">
        <v>23</v>
      </c>
      <c r="L108" s="8">
        <v>6</v>
      </c>
      <c r="M108" s="24">
        <v>3.9</v>
      </c>
      <c r="N108" s="15">
        <v>59500</v>
      </c>
      <c r="O108" s="15">
        <v>53400</v>
      </c>
      <c r="P108" s="8" t="s">
        <v>64</v>
      </c>
      <c r="Q108" s="8" t="s">
        <v>258</v>
      </c>
    </row>
    <row r="109" spans="1:17" ht="16" x14ac:dyDescent="0.45">
      <c r="A109" s="8" t="s">
        <v>263</v>
      </c>
      <c r="B109" s="23">
        <v>45760</v>
      </c>
      <c r="C109" s="8" t="s">
        <v>145</v>
      </c>
      <c r="D109" s="8" t="s">
        <v>59</v>
      </c>
      <c r="E109" s="8" t="s">
        <v>88</v>
      </c>
      <c r="F109" s="8" t="s">
        <v>37</v>
      </c>
      <c r="G109" s="8" t="s">
        <v>89</v>
      </c>
      <c r="H109" s="8" t="s">
        <v>62</v>
      </c>
      <c r="I109" s="8" t="s">
        <v>85</v>
      </c>
      <c r="J109" s="8">
        <v>101</v>
      </c>
      <c r="K109" s="8">
        <v>73</v>
      </c>
      <c r="L109" s="8">
        <v>142</v>
      </c>
      <c r="M109" s="24">
        <v>4.0999999999999996</v>
      </c>
      <c r="N109" s="15">
        <v>38000</v>
      </c>
      <c r="O109" s="15">
        <v>34600</v>
      </c>
      <c r="P109" s="8" t="s">
        <v>64</v>
      </c>
      <c r="Q109" s="8" t="s">
        <v>249</v>
      </c>
    </row>
    <row r="110" spans="1:17" ht="16" x14ac:dyDescent="0.45">
      <c r="A110" s="8" t="s">
        <v>264</v>
      </c>
      <c r="B110" s="23">
        <v>45760</v>
      </c>
      <c r="C110" s="8" t="s">
        <v>145</v>
      </c>
      <c r="D110" s="8" t="s">
        <v>59</v>
      </c>
      <c r="E110" s="8" t="s">
        <v>172</v>
      </c>
      <c r="F110" s="8" t="s">
        <v>37</v>
      </c>
      <c r="G110" s="8" t="s">
        <v>89</v>
      </c>
      <c r="H110" s="8" t="s">
        <v>84</v>
      </c>
      <c r="I110" s="8" t="s">
        <v>71</v>
      </c>
      <c r="J110" s="8">
        <v>63</v>
      </c>
      <c r="K110" s="8">
        <v>45</v>
      </c>
      <c r="L110" s="8">
        <v>37</v>
      </c>
      <c r="M110" s="24">
        <v>4.3</v>
      </c>
      <c r="N110" s="15">
        <v>28000</v>
      </c>
      <c r="O110" s="15">
        <v>24900</v>
      </c>
      <c r="P110" s="8" t="s">
        <v>64</v>
      </c>
      <c r="Q110" s="8" t="s">
        <v>93</v>
      </c>
    </row>
    <row r="111" spans="1:17" ht="16" x14ac:dyDescent="0.45">
      <c r="A111" s="8" t="s">
        <v>265</v>
      </c>
      <c r="B111" s="23">
        <v>45762</v>
      </c>
      <c r="C111" s="8" t="s">
        <v>99</v>
      </c>
      <c r="D111" s="8" t="s">
        <v>67</v>
      </c>
      <c r="E111" s="8" t="s">
        <v>207</v>
      </c>
      <c r="F111" s="8" t="s">
        <v>37</v>
      </c>
      <c r="G111" s="8" t="s">
        <v>89</v>
      </c>
      <c r="H111" s="8" t="s">
        <v>77</v>
      </c>
      <c r="I111" s="8" t="s">
        <v>78</v>
      </c>
      <c r="J111" s="8">
        <v>245</v>
      </c>
      <c r="K111" s="8">
        <v>138</v>
      </c>
      <c r="L111" s="8">
        <v>280</v>
      </c>
      <c r="M111" s="24">
        <v>3.8</v>
      </c>
      <c r="N111" s="15">
        <v>88000</v>
      </c>
      <c r="O111" s="15">
        <v>71600</v>
      </c>
      <c r="P111" s="8" t="s">
        <v>64</v>
      </c>
      <c r="Q111" s="8" t="s">
        <v>266</v>
      </c>
    </row>
    <row r="112" spans="1:17" ht="16" x14ac:dyDescent="0.45">
      <c r="A112" s="8" t="s">
        <v>267</v>
      </c>
      <c r="B112" s="23">
        <v>45762</v>
      </c>
      <c r="C112" s="8" t="s">
        <v>99</v>
      </c>
      <c r="D112" s="8" t="s">
        <v>67</v>
      </c>
      <c r="E112" s="8" t="s">
        <v>68</v>
      </c>
      <c r="F112" s="8" t="s">
        <v>40</v>
      </c>
      <c r="G112" s="8" t="s">
        <v>69</v>
      </c>
      <c r="H112" s="8" t="s">
        <v>77</v>
      </c>
      <c r="I112" s="8" t="s">
        <v>78</v>
      </c>
      <c r="J112" s="8">
        <v>251</v>
      </c>
      <c r="K112" s="8">
        <v>148</v>
      </c>
      <c r="L112" s="8">
        <v>45</v>
      </c>
      <c r="M112" s="24">
        <v>3.6</v>
      </c>
      <c r="N112" s="15">
        <v>71500</v>
      </c>
      <c r="O112" s="15">
        <v>70700</v>
      </c>
      <c r="P112" s="8" t="s">
        <v>64</v>
      </c>
      <c r="Q112" s="8" t="s">
        <v>189</v>
      </c>
    </row>
    <row r="113" spans="1:17" ht="16" x14ac:dyDescent="0.45">
      <c r="A113" s="8" t="s">
        <v>268</v>
      </c>
      <c r="B113" s="23">
        <v>45766</v>
      </c>
      <c r="C113" s="8" t="s">
        <v>81</v>
      </c>
      <c r="D113" s="8" t="s">
        <v>59</v>
      </c>
      <c r="E113" s="8" t="s">
        <v>82</v>
      </c>
      <c r="F113" s="8" t="s">
        <v>39</v>
      </c>
      <c r="G113" s="8" t="s">
        <v>83</v>
      </c>
      <c r="H113" s="8" t="s">
        <v>62</v>
      </c>
      <c r="I113" s="8" t="s">
        <v>117</v>
      </c>
      <c r="J113" s="8">
        <v>158</v>
      </c>
      <c r="K113" s="8">
        <v>116</v>
      </c>
      <c r="L113" s="8">
        <v>38</v>
      </c>
      <c r="M113" s="24">
        <v>4</v>
      </c>
      <c r="N113" s="15">
        <v>62000</v>
      </c>
      <c r="O113" s="15">
        <v>60900</v>
      </c>
      <c r="P113" s="8" t="s">
        <v>64</v>
      </c>
      <c r="Q113" s="8" t="s">
        <v>253</v>
      </c>
    </row>
    <row r="114" spans="1:17" ht="16" x14ac:dyDescent="0.45">
      <c r="A114" s="8" t="s">
        <v>269</v>
      </c>
      <c r="B114" s="23">
        <v>45768</v>
      </c>
      <c r="C114" s="8" t="s">
        <v>170</v>
      </c>
      <c r="D114" s="8" t="s">
        <v>67</v>
      </c>
      <c r="E114" s="8" t="s">
        <v>107</v>
      </c>
      <c r="F114" s="8" t="s">
        <v>36</v>
      </c>
      <c r="G114" s="8" t="s">
        <v>108</v>
      </c>
      <c r="H114" s="8" t="s">
        <v>62</v>
      </c>
      <c r="I114" s="8" t="s">
        <v>104</v>
      </c>
      <c r="J114" s="8">
        <v>167</v>
      </c>
      <c r="K114" s="8">
        <v>152</v>
      </c>
      <c r="L114" s="8">
        <v>109</v>
      </c>
      <c r="M114" s="24">
        <v>4.8</v>
      </c>
      <c r="N114" s="15">
        <v>81500</v>
      </c>
      <c r="O114" s="15">
        <v>114500</v>
      </c>
      <c r="P114" s="8" t="s">
        <v>64</v>
      </c>
      <c r="Q114" s="8" t="s">
        <v>137</v>
      </c>
    </row>
    <row r="115" spans="1:17" ht="16" x14ac:dyDescent="0.45">
      <c r="A115" s="8" t="s">
        <v>270</v>
      </c>
      <c r="B115" s="23">
        <v>45768</v>
      </c>
      <c r="C115" s="8" t="s">
        <v>170</v>
      </c>
      <c r="D115" s="8" t="s">
        <v>120</v>
      </c>
      <c r="E115" s="8" t="s">
        <v>150</v>
      </c>
      <c r="F115" s="8" t="s">
        <v>36</v>
      </c>
      <c r="G115" s="8" t="s">
        <v>108</v>
      </c>
      <c r="H115" s="8" t="s">
        <v>84</v>
      </c>
      <c r="I115" s="8" t="s">
        <v>71</v>
      </c>
      <c r="J115" s="8">
        <v>40</v>
      </c>
      <c r="K115" s="8">
        <v>35</v>
      </c>
      <c r="L115" s="8">
        <v>8</v>
      </c>
      <c r="M115" s="24">
        <v>4.5999999999999996</v>
      </c>
      <c r="N115" s="15">
        <v>15500</v>
      </c>
      <c r="O115" s="15">
        <v>18600</v>
      </c>
      <c r="P115" s="8" t="s">
        <v>64</v>
      </c>
      <c r="Q115" s="8" t="s">
        <v>271</v>
      </c>
    </row>
    <row r="116" spans="1:17" ht="16" x14ac:dyDescent="0.45">
      <c r="A116" s="8" t="s">
        <v>272</v>
      </c>
      <c r="B116" s="23">
        <v>45769</v>
      </c>
      <c r="C116" s="8" t="s">
        <v>99</v>
      </c>
      <c r="D116" s="8" t="s">
        <v>120</v>
      </c>
      <c r="E116" s="8" t="s">
        <v>273</v>
      </c>
      <c r="F116" s="8" t="s">
        <v>41</v>
      </c>
      <c r="G116" s="8" t="s">
        <v>61</v>
      </c>
      <c r="H116" s="8" t="s">
        <v>62</v>
      </c>
      <c r="I116" s="8" t="s">
        <v>117</v>
      </c>
      <c r="J116" s="8">
        <v>51</v>
      </c>
      <c r="K116" s="8">
        <v>40</v>
      </c>
      <c r="L116" s="8">
        <v>82</v>
      </c>
      <c r="M116" s="24">
        <v>3.6</v>
      </c>
      <c r="N116" s="15">
        <v>38000</v>
      </c>
      <c r="O116" s="15">
        <v>36000</v>
      </c>
      <c r="P116" s="8" t="s">
        <v>64</v>
      </c>
      <c r="Q116" s="8" t="s">
        <v>93</v>
      </c>
    </row>
    <row r="117" spans="1:17" ht="16" x14ac:dyDescent="0.45">
      <c r="A117" s="8" t="s">
        <v>274</v>
      </c>
      <c r="B117" s="23">
        <v>45770</v>
      </c>
      <c r="C117" s="8" t="s">
        <v>58</v>
      </c>
      <c r="D117" s="8" t="s">
        <v>67</v>
      </c>
      <c r="E117" s="8" t="s">
        <v>273</v>
      </c>
      <c r="F117" s="8" t="s">
        <v>41</v>
      </c>
      <c r="G117" s="8" t="s">
        <v>61</v>
      </c>
      <c r="H117" s="8" t="s">
        <v>77</v>
      </c>
      <c r="I117" s="8" t="s">
        <v>78</v>
      </c>
      <c r="J117" s="8">
        <v>311</v>
      </c>
      <c r="K117" s="8">
        <v>172</v>
      </c>
      <c r="L117" s="8">
        <v>299</v>
      </c>
      <c r="M117" s="24">
        <v>4</v>
      </c>
      <c r="N117" s="15">
        <v>58500</v>
      </c>
      <c r="O117" s="15">
        <v>53600</v>
      </c>
      <c r="P117" s="8" t="s">
        <v>64</v>
      </c>
      <c r="Q117" s="8" t="s">
        <v>239</v>
      </c>
    </row>
    <row r="118" spans="1:17" ht="16" x14ac:dyDescent="0.45">
      <c r="A118" s="8" t="s">
        <v>275</v>
      </c>
      <c r="B118" s="23">
        <v>45771</v>
      </c>
      <c r="C118" s="8" t="s">
        <v>74</v>
      </c>
      <c r="D118" s="8" t="s">
        <v>75</v>
      </c>
      <c r="E118" s="8" t="s">
        <v>139</v>
      </c>
      <c r="F118" s="8" t="s">
        <v>39</v>
      </c>
      <c r="G118" s="8" t="s">
        <v>83</v>
      </c>
      <c r="H118" s="8" t="s">
        <v>62</v>
      </c>
      <c r="I118" s="8" t="s">
        <v>117</v>
      </c>
      <c r="J118" s="8">
        <v>58</v>
      </c>
      <c r="K118" s="8">
        <v>44</v>
      </c>
      <c r="L118" s="8">
        <v>11</v>
      </c>
      <c r="M118" s="24"/>
      <c r="N118" s="15">
        <v>15000</v>
      </c>
      <c r="O118" s="15">
        <v>13000</v>
      </c>
      <c r="P118" s="8" t="s">
        <v>64</v>
      </c>
      <c r="Q118" s="8" t="s">
        <v>65</v>
      </c>
    </row>
    <row r="119" spans="1:17" ht="16" x14ac:dyDescent="0.45">
      <c r="A119" s="8" t="s">
        <v>276</v>
      </c>
      <c r="B119" s="23">
        <v>45771</v>
      </c>
      <c r="C119" s="8" t="s">
        <v>74</v>
      </c>
      <c r="D119" s="8" t="s">
        <v>75</v>
      </c>
      <c r="E119" s="8" t="s">
        <v>177</v>
      </c>
      <c r="F119" s="8" t="s">
        <v>39</v>
      </c>
      <c r="G119" s="8" t="s">
        <v>83</v>
      </c>
      <c r="H119" s="8" t="s">
        <v>62</v>
      </c>
      <c r="I119" s="8" t="s">
        <v>117</v>
      </c>
      <c r="J119" s="8">
        <v>77</v>
      </c>
      <c r="K119" s="8">
        <v>62</v>
      </c>
      <c r="L119" s="8">
        <v>48</v>
      </c>
      <c r="M119" s="24">
        <v>4.0999999999999996</v>
      </c>
      <c r="N119" s="15">
        <v>43500</v>
      </c>
      <c r="O119" s="15">
        <v>42300</v>
      </c>
      <c r="P119" s="8" t="s">
        <v>64</v>
      </c>
      <c r="Q119" s="8" t="s">
        <v>277</v>
      </c>
    </row>
    <row r="120" spans="1:17" ht="16" x14ac:dyDescent="0.45">
      <c r="A120" s="8" t="s">
        <v>278</v>
      </c>
      <c r="B120" s="23">
        <v>45773</v>
      </c>
      <c r="C120" s="8" t="s">
        <v>81</v>
      </c>
      <c r="D120" s="8" t="s">
        <v>59</v>
      </c>
      <c r="E120" s="8" t="s">
        <v>132</v>
      </c>
      <c r="F120" s="8" t="s">
        <v>37</v>
      </c>
      <c r="G120" s="8" t="s">
        <v>89</v>
      </c>
      <c r="H120" s="8" t="s">
        <v>77</v>
      </c>
      <c r="I120" s="8" t="s">
        <v>78</v>
      </c>
      <c r="J120" s="8">
        <v>100</v>
      </c>
      <c r="K120" s="8">
        <v>62</v>
      </c>
      <c r="L120" s="8">
        <v>67</v>
      </c>
      <c r="M120" s="24">
        <v>3.5</v>
      </c>
      <c r="N120" s="15">
        <v>22500</v>
      </c>
      <c r="O120" s="15">
        <v>15100</v>
      </c>
      <c r="P120" s="8" t="s">
        <v>64</v>
      </c>
      <c r="Q120" s="8" t="s">
        <v>234</v>
      </c>
    </row>
    <row r="121" spans="1:17" ht="16" x14ac:dyDescent="0.45">
      <c r="A121" s="8" t="s">
        <v>279</v>
      </c>
      <c r="B121" s="23">
        <v>45775</v>
      </c>
      <c r="C121" s="8" t="s">
        <v>170</v>
      </c>
      <c r="D121" s="8" t="s">
        <v>75</v>
      </c>
      <c r="E121" s="8" t="s">
        <v>110</v>
      </c>
      <c r="F121" s="8" t="s">
        <v>36</v>
      </c>
      <c r="G121" s="8" t="s">
        <v>108</v>
      </c>
      <c r="H121" s="8" t="s">
        <v>77</v>
      </c>
      <c r="I121" s="8" t="s">
        <v>78</v>
      </c>
      <c r="J121" s="8">
        <v>110</v>
      </c>
      <c r="K121" s="8">
        <v>63</v>
      </c>
      <c r="L121" s="8">
        <v>16</v>
      </c>
      <c r="M121" s="24">
        <v>4.5999999999999996</v>
      </c>
      <c r="N121" s="15">
        <v>33000</v>
      </c>
      <c r="O121" s="15">
        <v>36500</v>
      </c>
      <c r="P121" s="8" t="s">
        <v>64</v>
      </c>
      <c r="Q121" s="8" t="s">
        <v>93</v>
      </c>
    </row>
    <row r="122" spans="1:17" ht="16" x14ac:dyDescent="0.45">
      <c r="A122" s="8" t="s">
        <v>280</v>
      </c>
      <c r="B122" s="23">
        <v>45778</v>
      </c>
      <c r="C122" s="8" t="s">
        <v>74</v>
      </c>
      <c r="D122" s="8" t="s">
        <v>75</v>
      </c>
      <c r="E122" s="8" t="s">
        <v>212</v>
      </c>
      <c r="F122" s="8" t="s">
        <v>41</v>
      </c>
      <c r="G122" s="8" t="s">
        <v>61</v>
      </c>
      <c r="H122" s="8" t="s">
        <v>62</v>
      </c>
      <c r="I122" s="8" t="s">
        <v>85</v>
      </c>
      <c r="J122" s="8">
        <v>147</v>
      </c>
      <c r="K122" s="8">
        <v>122</v>
      </c>
      <c r="L122" s="8">
        <v>111</v>
      </c>
      <c r="M122" s="24">
        <v>4.2</v>
      </c>
      <c r="N122" s="15">
        <v>34000</v>
      </c>
      <c r="O122" s="15">
        <v>34600</v>
      </c>
      <c r="P122" s="8" t="s">
        <v>64</v>
      </c>
      <c r="Q122" s="8" t="s">
        <v>93</v>
      </c>
    </row>
    <row r="123" spans="1:17" ht="16" x14ac:dyDescent="0.45">
      <c r="A123" s="8" t="s">
        <v>281</v>
      </c>
      <c r="B123" s="23">
        <v>45785</v>
      </c>
      <c r="C123" s="8" t="s">
        <v>74</v>
      </c>
      <c r="D123" s="8" t="s">
        <v>67</v>
      </c>
      <c r="E123" s="8" t="s">
        <v>107</v>
      </c>
      <c r="F123" s="8" t="s">
        <v>36</v>
      </c>
      <c r="G123" s="8" t="s">
        <v>108</v>
      </c>
      <c r="H123" s="8" t="s">
        <v>183</v>
      </c>
      <c r="I123" s="8" t="s">
        <v>71</v>
      </c>
      <c r="J123" s="8">
        <v>140</v>
      </c>
      <c r="K123" s="8">
        <v>125</v>
      </c>
      <c r="L123" s="8">
        <v>29</v>
      </c>
      <c r="M123" s="24">
        <v>4.4000000000000004</v>
      </c>
      <c r="N123" s="15">
        <v>25000</v>
      </c>
      <c r="O123" s="15">
        <v>28400</v>
      </c>
      <c r="P123" s="8" t="s">
        <v>64</v>
      </c>
      <c r="Q123" s="8" t="s">
        <v>282</v>
      </c>
    </row>
    <row r="124" spans="1:17" ht="16" x14ac:dyDescent="0.45">
      <c r="A124" s="8" t="s">
        <v>283</v>
      </c>
      <c r="B124" s="23">
        <v>45787</v>
      </c>
      <c r="C124" s="8" t="s">
        <v>81</v>
      </c>
      <c r="D124" s="8" t="s">
        <v>59</v>
      </c>
      <c r="E124" s="8" t="s">
        <v>116</v>
      </c>
      <c r="F124" s="8" t="s">
        <v>39</v>
      </c>
      <c r="G124" s="8" t="s">
        <v>83</v>
      </c>
      <c r="H124" s="8" t="s">
        <v>62</v>
      </c>
      <c r="I124" s="8" t="s">
        <v>85</v>
      </c>
      <c r="J124" s="8">
        <v>60</v>
      </c>
      <c r="K124" s="8">
        <v>75</v>
      </c>
      <c r="L124" s="8">
        <v>21</v>
      </c>
      <c r="M124" s="24">
        <v>3.9</v>
      </c>
      <c r="N124" s="15">
        <v>68000</v>
      </c>
      <c r="O124" s="15">
        <v>64500</v>
      </c>
      <c r="P124" s="8" t="s">
        <v>64</v>
      </c>
      <c r="Q124" s="8" t="s">
        <v>266</v>
      </c>
    </row>
    <row r="125" spans="1:17" ht="16" x14ac:dyDescent="0.45">
      <c r="A125" s="8" t="s">
        <v>284</v>
      </c>
      <c r="B125" s="23">
        <v>45788</v>
      </c>
      <c r="C125" s="8" t="s">
        <v>145</v>
      </c>
      <c r="D125" s="8" t="s">
        <v>59</v>
      </c>
      <c r="E125" s="8" t="s">
        <v>100</v>
      </c>
      <c r="F125" s="8" t="s">
        <v>38</v>
      </c>
      <c r="G125" s="8" t="s">
        <v>101</v>
      </c>
      <c r="H125" s="8" t="s">
        <v>62</v>
      </c>
      <c r="I125" s="8" t="s">
        <v>117</v>
      </c>
      <c r="J125" s="8">
        <v>106</v>
      </c>
      <c r="K125" s="8">
        <v>62</v>
      </c>
      <c r="L125" s="8">
        <v>43</v>
      </c>
      <c r="M125" s="24">
        <v>4.4000000000000004</v>
      </c>
      <c r="N125" s="15">
        <v>34500</v>
      </c>
      <c r="O125" s="15">
        <v>30400</v>
      </c>
      <c r="P125" s="8" t="s">
        <v>64</v>
      </c>
      <c r="Q125" s="8" t="s">
        <v>142</v>
      </c>
    </row>
    <row r="126" spans="1:17" ht="16" x14ac:dyDescent="0.45">
      <c r="A126" s="8" t="s">
        <v>285</v>
      </c>
      <c r="B126" s="23">
        <v>45794</v>
      </c>
      <c r="C126" s="8" t="s">
        <v>81</v>
      </c>
      <c r="D126" s="8" t="s">
        <v>59</v>
      </c>
      <c r="E126" s="8" t="s">
        <v>152</v>
      </c>
      <c r="F126" s="8" t="s">
        <v>40</v>
      </c>
      <c r="G126" s="8" t="s">
        <v>69</v>
      </c>
      <c r="H126" s="8" t="s">
        <v>77</v>
      </c>
      <c r="I126" s="8" t="s">
        <v>78</v>
      </c>
      <c r="J126" s="8">
        <v>306</v>
      </c>
      <c r="K126" s="8">
        <v>194</v>
      </c>
      <c r="L126" s="8">
        <v>85</v>
      </c>
      <c r="M126" s="24">
        <v>3.6</v>
      </c>
      <c r="N126" s="15">
        <v>14000</v>
      </c>
      <c r="O126" s="15">
        <v>12200</v>
      </c>
      <c r="P126" s="8" t="s">
        <v>64</v>
      </c>
      <c r="Q126" s="8" t="s">
        <v>185</v>
      </c>
    </row>
    <row r="127" spans="1:17" ht="16" x14ac:dyDescent="0.45">
      <c r="A127" s="8" t="s">
        <v>286</v>
      </c>
      <c r="B127" s="23">
        <v>45794</v>
      </c>
      <c r="C127" s="8" t="s">
        <v>81</v>
      </c>
      <c r="D127" s="8" t="s">
        <v>59</v>
      </c>
      <c r="E127" s="8" t="s">
        <v>177</v>
      </c>
      <c r="F127" s="8" t="s">
        <v>39</v>
      </c>
      <c r="G127" s="8" t="s">
        <v>83</v>
      </c>
      <c r="H127" s="8" t="s">
        <v>156</v>
      </c>
      <c r="I127" s="8" t="s">
        <v>71</v>
      </c>
      <c r="J127" s="8">
        <v>90</v>
      </c>
      <c r="K127" s="8">
        <v>63</v>
      </c>
      <c r="L127" s="8">
        <v>22</v>
      </c>
      <c r="M127" s="24">
        <v>4.0999999999999996</v>
      </c>
      <c r="N127" s="15">
        <v>88500</v>
      </c>
      <c r="O127" s="15">
        <v>83100</v>
      </c>
      <c r="P127" s="8" t="s">
        <v>64</v>
      </c>
      <c r="Q127" s="8" t="s">
        <v>287</v>
      </c>
    </row>
    <row r="128" spans="1:17" ht="16" x14ac:dyDescent="0.45">
      <c r="A128" s="8" t="s">
        <v>288</v>
      </c>
      <c r="B128" s="23">
        <v>45795</v>
      </c>
      <c r="C128" s="8" t="s">
        <v>145</v>
      </c>
      <c r="D128" s="8" t="s">
        <v>59</v>
      </c>
      <c r="E128" s="8" t="s">
        <v>116</v>
      </c>
      <c r="F128" s="8" t="s">
        <v>39</v>
      </c>
      <c r="G128" s="8" t="s">
        <v>83</v>
      </c>
      <c r="H128" s="8" t="s">
        <v>62</v>
      </c>
      <c r="I128" s="8" t="s">
        <v>104</v>
      </c>
      <c r="J128" s="8">
        <v>41</v>
      </c>
      <c r="K128" s="8">
        <v>29</v>
      </c>
      <c r="L128" s="8">
        <v>23</v>
      </c>
      <c r="M128" s="24">
        <v>3.8</v>
      </c>
      <c r="N128" s="15">
        <v>32000</v>
      </c>
      <c r="O128" s="15">
        <v>25600</v>
      </c>
      <c r="P128" s="8" t="s">
        <v>64</v>
      </c>
      <c r="Q128" s="8" t="s">
        <v>289</v>
      </c>
    </row>
    <row r="129" spans="1:17" ht="16" x14ac:dyDescent="0.45">
      <c r="A129" s="8" t="s">
        <v>290</v>
      </c>
      <c r="B129" s="23">
        <v>45796</v>
      </c>
      <c r="C129" s="8" t="s">
        <v>170</v>
      </c>
      <c r="D129" s="8" t="s">
        <v>67</v>
      </c>
      <c r="E129" s="8" t="s">
        <v>82</v>
      </c>
      <c r="F129" s="8" t="s">
        <v>39</v>
      </c>
      <c r="G129" s="8" t="s">
        <v>83</v>
      </c>
      <c r="H129" s="8" t="s">
        <v>62</v>
      </c>
      <c r="I129" s="8" t="s">
        <v>117</v>
      </c>
      <c r="J129" s="8">
        <v>86</v>
      </c>
      <c r="K129" s="8">
        <v>73</v>
      </c>
      <c r="L129" s="8">
        <v>43</v>
      </c>
      <c r="M129" s="24">
        <v>4.0999999999999996</v>
      </c>
      <c r="N129" s="15">
        <v>15500</v>
      </c>
      <c r="O129" s="15">
        <v>14900</v>
      </c>
      <c r="P129" s="8" t="s">
        <v>64</v>
      </c>
      <c r="Q129" s="8" t="s">
        <v>142</v>
      </c>
    </row>
    <row r="130" spans="1:17" ht="16" x14ac:dyDescent="0.45">
      <c r="A130" s="8" t="s">
        <v>291</v>
      </c>
      <c r="B130" s="23">
        <v>45798</v>
      </c>
      <c r="C130" s="8" t="s">
        <v>58</v>
      </c>
      <c r="D130" s="8" t="s">
        <v>120</v>
      </c>
      <c r="E130" s="8" t="s">
        <v>150</v>
      </c>
      <c r="F130" s="8" t="s">
        <v>36</v>
      </c>
      <c r="G130" s="8" t="s">
        <v>108</v>
      </c>
      <c r="H130" s="8" t="s">
        <v>84</v>
      </c>
      <c r="I130" s="8" t="s">
        <v>71</v>
      </c>
      <c r="J130" s="8">
        <v>89</v>
      </c>
      <c r="K130" s="8">
        <v>65</v>
      </c>
      <c r="L130" s="8">
        <v>40</v>
      </c>
      <c r="M130" s="24">
        <v>4.5</v>
      </c>
      <c r="N130" s="15">
        <v>9500</v>
      </c>
      <c r="O130" s="15">
        <v>10300</v>
      </c>
      <c r="P130" s="8" t="s">
        <v>64</v>
      </c>
      <c r="Q130" s="8" t="s">
        <v>282</v>
      </c>
    </row>
    <row r="131" spans="1:17" ht="16" x14ac:dyDescent="0.45">
      <c r="A131" s="8" t="s">
        <v>292</v>
      </c>
      <c r="B131" s="23">
        <v>45799</v>
      </c>
      <c r="C131" s="8" t="s">
        <v>74</v>
      </c>
      <c r="D131" s="8" t="s">
        <v>67</v>
      </c>
      <c r="E131" s="8" t="s">
        <v>161</v>
      </c>
      <c r="F131" s="8" t="s">
        <v>36</v>
      </c>
      <c r="G131" s="8" t="s">
        <v>108</v>
      </c>
      <c r="H131" s="8" t="s">
        <v>77</v>
      </c>
      <c r="I131" s="8" t="s">
        <v>78</v>
      </c>
      <c r="J131" s="8">
        <v>304</v>
      </c>
      <c r="K131" s="8">
        <v>161</v>
      </c>
      <c r="L131" s="8">
        <v>140</v>
      </c>
      <c r="M131" s="24">
        <v>4.3</v>
      </c>
      <c r="N131" s="15">
        <v>81000</v>
      </c>
      <c r="O131" s="15">
        <v>95400</v>
      </c>
      <c r="P131" s="8" t="s">
        <v>64</v>
      </c>
      <c r="Q131" s="8" t="s">
        <v>127</v>
      </c>
    </row>
    <row r="132" spans="1:17" ht="16" x14ac:dyDescent="0.45">
      <c r="A132" s="8" t="s">
        <v>293</v>
      </c>
      <c r="B132" s="23">
        <v>45799</v>
      </c>
      <c r="C132" s="8" t="s">
        <v>74</v>
      </c>
      <c r="D132" s="8" t="s">
        <v>75</v>
      </c>
      <c r="E132" s="8" t="s">
        <v>139</v>
      </c>
      <c r="F132" s="8" t="s">
        <v>39</v>
      </c>
      <c r="G132" s="8" t="s">
        <v>83</v>
      </c>
      <c r="H132" s="8" t="s">
        <v>62</v>
      </c>
      <c r="I132" s="8" t="s">
        <v>63</v>
      </c>
      <c r="J132" s="8">
        <v>139</v>
      </c>
      <c r="K132" s="8">
        <v>106</v>
      </c>
      <c r="L132" s="8">
        <v>65</v>
      </c>
      <c r="M132" s="24">
        <v>4.0999999999999996</v>
      </c>
      <c r="N132" s="15">
        <v>11000</v>
      </c>
      <c r="O132" s="15">
        <v>8600</v>
      </c>
      <c r="P132" s="8" t="s">
        <v>64</v>
      </c>
      <c r="Q132" s="8" t="s">
        <v>289</v>
      </c>
    </row>
    <row r="133" spans="1:17" ht="16" x14ac:dyDescent="0.45">
      <c r="A133" s="8" t="s">
        <v>294</v>
      </c>
      <c r="B133" s="23">
        <v>45801</v>
      </c>
      <c r="C133" s="8" t="s">
        <v>81</v>
      </c>
      <c r="D133" s="8" t="s">
        <v>59</v>
      </c>
      <c r="E133" s="8" t="s">
        <v>116</v>
      </c>
      <c r="F133" s="8" t="s">
        <v>39</v>
      </c>
      <c r="G133" s="8" t="s">
        <v>83</v>
      </c>
      <c r="H133" s="8" t="s">
        <v>156</v>
      </c>
      <c r="I133" s="8" t="s">
        <v>71</v>
      </c>
      <c r="J133" s="8">
        <v>121</v>
      </c>
      <c r="K133" s="8">
        <v>101</v>
      </c>
      <c r="L133" s="8">
        <v>42</v>
      </c>
      <c r="M133" s="24">
        <v>3.7</v>
      </c>
      <c r="N133" s="15">
        <v>77500</v>
      </c>
      <c r="O133" s="15">
        <v>70200</v>
      </c>
      <c r="P133" s="8" t="s">
        <v>64</v>
      </c>
      <c r="Q133" s="8" t="s">
        <v>124</v>
      </c>
    </row>
    <row r="134" spans="1:17" ht="16" x14ac:dyDescent="0.45">
      <c r="A134" s="8" t="s">
        <v>295</v>
      </c>
      <c r="B134" s="23">
        <v>45804</v>
      </c>
      <c r="C134" s="8" t="s">
        <v>99</v>
      </c>
      <c r="D134" s="8" t="s">
        <v>120</v>
      </c>
      <c r="E134" s="8" t="s">
        <v>262</v>
      </c>
      <c r="F134" s="8" t="s">
        <v>38</v>
      </c>
      <c r="G134" s="8" t="s">
        <v>101</v>
      </c>
      <c r="H134" s="8" t="s">
        <v>146</v>
      </c>
      <c r="I134" s="8" t="s">
        <v>71</v>
      </c>
      <c r="J134" s="8">
        <v>96</v>
      </c>
      <c r="K134" s="8">
        <v>75</v>
      </c>
      <c r="L134" s="8">
        <v>60</v>
      </c>
      <c r="M134" s="24">
        <v>4.3</v>
      </c>
      <c r="N134" s="15">
        <v>43500</v>
      </c>
      <c r="O134" s="15">
        <v>36500</v>
      </c>
      <c r="P134" s="8" t="s">
        <v>64</v>
      </c>
      <c r="Q134" s="8" t="s">
        <v>142</v>
      </c>
    </row>
    <row r="135" spans="1:17" ht="16" x14ac:dyDescent="0.45">
      <c r="A135" s="8" t="s">
        <v>296</v>
      </c>
      <c r="B135" s="23">
        <v>45804</v>
      </c>
      <c r="C135" s="8" t="s">
        <v>99</v>
      </c>
      <c r="D135" s="8" t="s">
        <v>67</v>
      </c>
      <c r="E135" s="8" t="s">
        <v>273</v>
      </c>
      <c r="F135" s="8" t="s">
        <v>41</v>
      </c>
      <c r="G135" s="8" t="s">
        <v>61</v>
      </c>
      <c r="H135" s="8" t="s">
        <v>62</v>
      </c>
      <c r="I135" s="8" t="s">
        <v>104</v>
      </c>
      <c r="J135" s="8">
        <v>94</v>
      </c>
      <c r="K135" s="8">
        <v>0</v>
      </c>
      <c r="L135" s="8">
        <v>0</v>
      </c>
      <c r="M135" s="24"/>
      <c r="N135" s="15">
        <v>46500</v>
      </c>
      <c r="O135" s="15">
        <v>4650</v>
      </c>
      <c r="P135" s="8" t="s">
        <v>96</v>
      </c>
      <c r="Q135" s="8" t="s">
        <v>127</v>
      </c>
    </row>
    <row r="136" spans="1:17" ht="16" x14ac:dyDescent="0.45">
      <c r="A136" s="8" t="s">
        <v>297</v>
      </c>
      <c r="B136" s="23">
        <v>45806</v>
      </c>
      <c r="C136" s="8" t="s">
        <v>74</v>
      </c>
      <c r="D136" s="8" t="s">
        <v>120</v>
      </c>
      <c r="E136" s="8" t="s">
        <v>165</v>
      </c>
      <c r="F136" s="8" t="s">
        <v>38</v>
      </c>
      <c r="G136" s="8" t="s">
        <v>101</v>
      </c>
      <c r="H136" s="8" t="s">
        <v>62</v>
      </c>
      <c r="I136" s="8" t="s">
        <v>63</v>
      </c>
      <c r="J136" s="8">
        <v>94</v>
      </c>
      <c r="K136" s="8">
        <v>82</v>
      </c>
      <c r="L136" s="8">
        <v>68</v>
      </c>
      <c r="M136" s="24">
        <v>3.8</v>
      </c>
      <c r="N136" s="15">
        <v>43500</v>
      </c>
      <c r="O136" s="15">
        <v>39900</v>
      </c>
      <c r="P136" s="8" t="s">
        <v>64</v>
      </c>
      <c r="Q136" s="8" t="s">
        <v>86</v>
      </c>
    </row>
    <row r="137" spans="1:17" ht="16" x14ac:dyDescent="0.45">
      <c r="A137" s="8" t="s">
        <v>298</v>
      </c>
      <c r="B137" s="23">
        <v>45807</v>
      </c>
      <c r="C137" s="8" t="s">
        <v>113</v>
      </c>
      <c r="D137" s="8" t="s">
        <v>59</v>
      </c>
      <c r="E137" s="8" t="s">
        <v>161</v>
      </c>
      <c r="F137" s="8" t="s">
        <v>36</v>
      </c>
      <c r="G137" s="8" t="s">
        <v>108</v>
      </c>
      <c r="H137" s="8" t="s">
        <v>62</v>
      </c>
      <c r="I137" s="8" t="s">
        <v>71</v>
      </c>
      <c r="J137" s="8">
        <v>155</v>
      </c>
      <c r="K137" s="8">
        <v>113</v>
      </c>
      <c r="L137" s="8">
        <v>73</v>
      </c>
      <c r="M137" s="24">
        <v>4.2</v>
      </c>
      <c r="N137" s="15">
        <v>80500</v>
      </c>
      <c r="O137" s="15">
        <v>92500</v>
      </c>
      <c r="P137" s="8" t="s">
        <v>64</v>
      </c>
      <c r="Q137" s="8" t="s">
        <v>118</v>
      </c>
    </row>
    <row r="138" spans="1:17" ht="16" x14ac:dyDescent="0.45">
      <c r="A138" s="8" t="s">
        <v>299</v>
      </c>
      <c r="B138" s="23">
        <v>45808</v>
      </c>
      <c r="C138" s="8" t="s">
        <v>81</v>
      </c>
      <c r="D138" s="8" t="s">
        <v>59</v>
      </c>
      <c r="E138" s="8" t="s">
        <v>116</v>
      </c>
      <c r="F138" s="8" t="s">
        <v>39</v>
      </c>
      <c r="G138" s="8" t="s">
        <v>83</v>
      </c>
      <c r="H138" s="8" t="s">
        <v>62</v>
      </c>
      <c r="I138" s="8" t="s">
        <v>117</v>
      </c>
      <c r="J138" s="8">
        <v>64</v>
      </c>
      <c r="K138" s="8">
        <v>49</v>
      </c>
      <c r="L138" s="8">
        <v>27</v>
      </c>
      <c r="M138" s="24">
        <v>3.9</v>
      </c>
      <c r="N138" s="15">
        <v>48000</v>
      </c>
      <c r="O138" s="15">
        <v>45500</v>
      </c>
      <c r="P138" s="8" t="s">
        <v>64</v>
      </c>
      <c r="Q138" s="8" t="s">
        <v>137</v>
      </c>
    </row>
    <row r="139" spans="1:17" ht="16" x14ac:dyDescent="0.45">
      <c r="A139" s="8" t="s">
        <v>300</v>
      </c>
      <c r="B139" s="23">
        <v>45809</v>
      </c>
      <c r="C139" s="8" t="s">
        <v>145</v>
      </c>
      <c r="D139" s="8" t="s">
        <v>59</v>
      </c>
      <c r="E139" s="8" t="s">
        <v>139</v>
      </c>
      <c r="F139" s="8" t="s">
        <v>39</v>
      </c>
      <c r="G139" s="8" t="s">
        <v>83</v>
      </c>
      <c r="H139" s="8" t="s">
        <v>62</v>
      </c>
      <c r="I139" s="8" t="s">
        <v>85</v>
      </c>
      <c r="J139" s="8">
        <v>111</v>
      </c>
      <c r="K139" s="8">
        <v>82</v>
      </c>
      <c r="L139" s="8">
        <v>28</v>
      </c>
      <c r="M139" s="24">
        <v>4.0999999999999996</v>
      </c>
      <c r="N139" s="15">
        <v>19500</v>
      </c>
      <c r="O139" s="15">
        <v>19600</v>
      </c>
      <c r="P139" s="8" t="s">
        <v>64</v>
      </c>
      <c r="Q139" s="8" t="s">
        <v>118</v>
      </c>
    </row>
    <row r="140" spans="1:17" ht="16" x14ac:dyDescent="0.45">
      <c r="A140" s="8" t="s">
        <v>301</v>
      </c>
      <c r="B140" s="23">
        <v>45818</v>
      </c>
      <c r="C140" s="8" t="s">
        <v>99</v>
      </c>
      <c r="D140" s="8" t="s">
        <v>75</v>
      </c>
      <c r="E140" s="8" t="s">
        <v>207</v>
      </c>
      <c r="F140" s="8" t="s">
        <v>37</v>
      </c>
      <c r="G140" s="8" t="s">
        <v>89</v>
      </c>
      <c r="H140" s="8" t="s">
        <v>302</v>
      </c>
      <c r="I140" s="8" t="s">
        <v>117</v>
      </c>
      <c r="J140" s="8">
        <v>38</v>
      </c>
      <c r="K140" s="8">
        <v>29</v>
      </c>
      <c r="L140" s="8">
        <v>40</v>
      </c>
      <c r="M140" s="24">
        <v>3.9</v>
      </c>
      <c r="N140" s="15">
        <v>69000</v>
      </c>
      <c r="O140" s="15">
        <v>64000</v>
      </c>
      <c r="P140" s="8" t="s">
        <v>64</v>
      </c>
      <c r="Q140" s="8" t="s">
        <v>79</v>
      </c>
    </row>
    <row r="141" spans="1:17" ht="16" x14ac:dyDescent="0.45">
      <c r="A141" s="8" t="s">
        <v>303</v>
      </c>
      <c r="B141" s="23">
        <v>45823</v>
      </c>
      <c r="C141" s="8" t="s">
        <v>145</v>
      </c>
      <c r="D141" s="8" t="s">
        <v>59</v>
      </c>
      <c r="E141" s="8" t="s">
        <v>88</v>
      </c>
      <c r="F141" s="8" t="s">
        <v>37</v>
      </c>
      <c r="G141" s="8" t="s">
        <v>89</v>
      </c>
      <c r="H141" s="8" t="s">
        <v>62</v>
      </c>
      <c r="I141" s="8" t="s">
        <v>104</v>
      </c>
      <c r="J141" s="8">
        <v>76</v>
      </c>
      <c r="K141" s="8">
        <v>51</v>
      </c>
      <c r="L141" s="8">
        <v>55</v>
      </c>
      <c r="M141" s="24">
        <v>3.9</v>
      </c>
      <c r="N141" s="15">
        <v>79000</v>
      </c>
      <c r="O141" s="15">
        <v>72500</v>
      </c>
      <c r="P141" s="8" t="s">
        <v>64</v>
      </c>
      <c r="Q141" s="8" t="s">
        <v>140</v>
      </c>
    </row>
    <row r="142" spans="1:17" ht="16" x14ac:dyDescent="0.45">
      <c r="A142" s="8" t="s">
        <v>304</v>
      </c>
      <c r="B142" s="23">
        <v>45825</v>
      </c>
      <c r="C142" s="8" t="s">
        <v>99</v>
      </c>
      <c r="D142" s="8" t="s">
        <v>120</v>
      </c>
      <c r="E142" s="8" t="s">
        <v>305</v>
      </c>
      <c r="F142" s="8" t="s">
        <v>41</v>
      </c>
      <c r="G142" s="8" t="s">
        <v>61</v>
      </c>
      <c r="H142" s="8" t="s">
        <v>62</v>
      </c>
      <c r="I142" s="8" t="s">
        <v>117</v>
      </c>
      <c r="J142" s="8">
        <v>41</v>
      </c>
      <c r="K142" s="8">
        <v>30</v>
      </c>
      <c r="L142" s="8">
        <v>38</v>
      </c>
      <c r="M142" s="24">
        <v>4.3</v>
      </c>
      <c r="N142" s="15">
        <v>80500</v>
      </c>
      <c r="O142" s="15">
        <v>77000</v>
      </c>
      <c r="P142" s="8" t="s">
        <v>64</v>
      </c>
      <c r="Q142" s="8" t="s">
        <v>196</v>
      </c>
    </row>
    <row r="143" spans="1:17" ht="16" x14ac:dyDescent="0.45">
      <c r="A143" s="8" t="s">
        <v>306</v>
      </c>
      <c r="B143" s="23">
        <v>45826</v>
      </c>
      <c r="C143" s="8" t="s">
        <v>58</v>
      </c>
      <c r="D143" s="8" t="s">
        <v>67</v>
      </c>
      <c r="E143" s="8" t="s">
        <v>103</v>
      </c>
      <c r="F143" s="8" t="s">
        <v>37</v>
      </c>
      <c r="G143" s="8" t="s">
        <v>89</v>
      </c>
      <c r="H143" s="8" t="s">
        <v>77</v>
      </c>
      <c r="I143" s="8" t="s">
        <v>78</v>
      </c>
      <c r="J143" s="8">
        <v>178</v>
      </c>
      <c r="K143" s="8">
        <v>77</v>
      </c>
      <c r="L143" s="8">
        <v>65</v>
      </c>
      <c r="M143" s="24">
        <v>3.5</v>
      </c>
      <c r="N143" s="15">
        <v>57000</v>
      </c>
      <c r="O143" s="15">
        <v>50700</v>
      </c>
      <c r="P143" s="8" t="s">
        <v>64</v>
      </c>
      <c r="Q143" s="8" t="s">
        <v>224</v>
      </c>
    </row>
    <row r="144" spans="1:17" ht="16" x14ac:dyDescent="0.45">
      <c r="A144" s="8" t="s">
        <v>307</v>
      </c>
      <c r="B144" s="23">
        <v>45827</v>
      </c>
      <c r="C144" s="8" t="s">
        <v>74</v>
      </c>
      <c r="D144" s="8" t="s">
        <v>59</v>
      </c>
      <c r="E144" s="8" t="s">
        <v>92</v>
      </c>
      <c r="F144" s="8" t="s">
        <v>41</v>
      </c>
      <c r="G144" s="8" t="s">
        <v>61</v>
      </c>
      <c r="H144" s="8" t="s">
        <v>62</v>
      </c>
      <c r="I144" s="8" t="s">
        <v>117</v>
      </c>
      <c r="J144" s="8">
        <v>103</v>
      </c>
      <c r="K144" s="8">
        <v>76</v>
      </c>
      <c r="L144" s="8">
        <v>84</v>
      </c>
      <c r="M144" s="24">
        <v>4.5</v>
      </c>
      <c r="N144" s="15">
        <v>36500</v>
      </c>
      <c r="O144" s="15">
        <v>28100</v>
      </c>
      <c r="P144" s="8" t="s">
        <v>64</v>
      </c>
      <c r="Q144" s="8" t="s">
        <v>308</v>
      </c>
    </row>
    <row r="145" spans="1:17" ht="16" x14ac:dyDescent="0.45">
      <c r="A145" s="8" t="s">
        <v>309</v>
      </c>
      <c r="B145" s="23">
        <v>45829</v>
      </c>
      <c r="C145" s="8" t="s">
        <v>81</v>
      </c>
      <c r="D145" s="8" t="s">
        <v>59</v>
      </c>
      <c r="E145" s="8" t="s">
        <v>114</v>
      </c>
      <c r="F145" s="8" t="s">
        <v>39</v>
      </c>
      <c r="G145" s="8" t="s">
        <v>83</v>
      </c>
      <c r="H145" s="8" t="s">
        <v>62</v>
      </c>
      <c r="I145" s="8" t="s">
        <v>71</v>
      </c>
      <c r="J145" s="8">
        <v>110</v>
      </c>
      <c r="K145" s="8">
        <v>61</v>
      </c>
      <c r="L145" s="8">
        <v>38</v>
      </c>
      <c r="M145" s="24"/>
      <c r="N145" s="15">
        <v>40500</v>
      </c>
      <c r="O145" s="15">
        <v>39500</v>
      </c>
      <c r="P145" s="8" t="s">
        <v>64</v>
      </c>
      <c r="Q145" s="8" t="s">
        <v>127</v>
      </c>
    </row>
    <row r="146" spans="1:17" ht="16" x14ac:dyDescent="0.45">
      <c r="A146" s="8" t="s">
        <v>310</v>
      </c>
      <c r="B146" s="23">
        <v>45829</v>
      </c>
      <c r="C146" s="8" t="s">
        <v>81</v>
      </c>
      <c r="D146" s="8" t="s">
        <v>59</v>
      </c>
      <c r="E146" s="8" t="s">
        <v>76</v>
      </c>
      <c r="F146" s="8" t="s">
        <v>40</v>
      </c>
      <c r="G146" s="8" t="s">
        <v>69</v>
      </c>
      <c r="H146" s="8" t="s">
        <v>62</v>
      </c>
      <c r="I146" s="8" t="s">
        <v>85</v>
      </c>
      <c r="J146" s="8">
        <v>72</v>
      </c>
      <c r="K146" s="8">
        <v>51</v>
      </c>
      <c r="L146" s="8">
        <v>37</v>
      </c>
      <c r="M146" s="24">
        <v>4.3</v>
      </c>
      <c r="N146" s="15">
        <v>59500</v>
      </c>
      <c r="O146" s="15">
        <v>50700</v>
      </c>
      <c r="P146" s="8" t="s">
        <v>64</v>
      </c>
      <c r="Q146" s="8" t="s">
        <v>196</v>
      </c>
    </row>
    <row r="147" spans="1:17" ht="16" x14ac:dyDescent="0.45">
      <c r="A147" s="8" t="s">
        <v>311</v>
      </c>
      <c r="B147" s="23">
        <v>45830</v>
      </c>
      <c r="C147" s="8" t="s">
        <v>145</v>
      </c>
      <c r="D147" s="8" t="s">
        <v>59</v>
      </c>
      <c r="E147" s="8" t="s">
        <v>103</v>
      </c>
      <c r="F147" s="8" t="s">
        <v>37</v>
      </c>
      <c r="G147" s="8" t="s">
        <v>89</v>
      </c>
      <c r="H147" s="8" t="s">
        <v>62</v>
      </c>
      <c r="I147" s="8" t="s">
        <v>85</v>
      </c>
      <c r="J147" s="8">
        <v>138</v>
      </c>
      <c r="K147" s="8">
        <v>112</v>
      </c>
      <c r="L147" s="8">
        <v>83</v>
      </c>
      <c r="M147" s="24">
        <v>4</v>
      </c>
      <c r="N147" s="15">
        <v>21500</v>
      </c>
      <c r="O147" s="15">
        <v>20000</v>
      </c>
      <c r="P147" s="8" t="s">
        <v>64</v>
      </c>
      <c r="Q147" s="8" t="s">
        <v>93</v>
      </c>
    </row>
    <row r="148" spans="1:17" ht="16" x14ac:dyDescent="0.45">
      <c r="A148" s="8" t="s">
        <v>312</v>
      </c>
      <c r="B148" s="23">
        <v>45830</v>
      </c>
      <c r="C148" s="8" t="s">
        <v>145</v>
      </c>
      <c r="D148" s="8" t="s">
        <v>59</v>
      </c>
      <c r="E148" s="8" t="s">
        <v>68</v>
      </c>
      <c r="F148" s="8" t="s">
        <v>40</v>
      </c>
      <c r="G148" s="8" t="s">
        <v>69</v>
      </c>
      <c r="H148" s="8" t="s">
        <v>77</v>
      </c>
      <c r="I148" s="8" t="s">
        <v>78</v>
      </c>
      <c r="J148" s="8">
        <v>145</v>
      </c>
      <c r="K148" s="8">
        <v>89</v>
      </c>
      <c r="L148" s="8">
        <v>77</v>
      </c>
      <c r="M148" s="24">
        <v>3.6</v>
      </c>
      <c r="N148" s="15">
        <v>71500</v>
      </c>
      <c r="O148" s="15">
        <v>55300</v>
      </c>
      <c r="P148" s="8" t="s">
        <v>64</v>
      </c>
      <c r="Q148" s="8" t="s">
        <v>118</v>
      </c>
    </row>
    <row r="149" spans="1:17" ht="16" x14ac:dyDescent="0.45">
      <c r="A149" s="8" t="s">
        <v>313</v>
      </c>
      <c r="B149" s="23">
        <v>45831</v>
      </c>
      <c r="C149" s="8" t="s">
        <v>170</v>
      </c>
      <c r="D149" s="8" t="s">
        <v>59</v>
      </c>
      <c r="E149" s="8" t="s">
        <v>88</v>
      </c>
      <c r="F149" s="8" t="s">
        <v>37</v>
      </c>
      <c r="G149" s="8" t="s">
        <v>89</v>
      </c>
      <c r="H149" s="8" t="s">
        <v>62</v>
      </c>
      <c r="I149" s="8" t="s">
        <v>71</v>
      </c>
      <c r="J149" s="8">
        <v>122</v>
      </c>
      <c r="K149" s="8">
        <v>84</v>
      </c>
      <c r="L149" s="8">
        <v>114</v>
      </c>
      <c r="M149" s="24">
        <v>3.9</v>
      </c>
      <c r="N149" s="15">
        <v>26500</v>
      </c>
      <c r="O149" s="15">
        <v>24700</v>
      </c>
      <c r="P149" s="8" t="s">
        <v>64</v>
      </c>
      <c r="Q149" s="8" t="s">
        <v>111</v>
      </c>
    </row>
    <row r="150" spans="1:17" ht="16" x14ac:dyDescent="0.45">
      <c r="A150" s="8" t="s">
        <v>314</v>
      </c>
      <c r="B150" s="23">
        <v>45832</v>
      </c>
      <c r="C150" s="8" t="s">
        <v>99</v>
      </c>
      <c r="D150" s="8" t="s">
        <v>75</v>
      </c>
      <c r="E150" s="8" t="s">
        <v>207</v>
      </c>
      <c r="F150" s="8" t="s">
        <v>37</v>
      </c>
      <c r="G150" s="8" t="s">
        <v>89</v>
      </c>
      <c r="H150" s="8" t="s">
        <v>62</v>
      </c>
      <c r="I150" s="8" t="s">
        <v>85</v>
      </c>
      <c r="J150" s="8">
        <v>126</v>
      </c>
      <c r="K150" s="8">
        <v>104</v>
      </c>
      <c r="L150" s="8">
        <v>72</v>
      </c>
      <c r="M150" s="24">
        <v>4.4000000000000004</v>
      </c>
      <c r="N150" s="15">
        <v>41000</v>
      </c>
      <c r="O150" s="15">
        <v>40900</v>
      </c>
      <c r="P150" s="8" t="s">
        <v>64</v>
      </c>
      <c r="Q150" s="8" t="s">
        <v>260</v>
      </c>
    </row>
    <row r="151" spans="1:17" ht="16" x14ac:dyDescent="0.45">
      <c r="A151" s="8" t="s">
        <v>315</v>
      </c>
      <c r="B151" s="23">
        <v>45836</v>
      </c>
      <c r="C151" s="8" t="s">
        <v>81</v>
      </c>
      <c r="D151" s="8" t="s">
        <v>59</v>
      </c>
      <c r="E151" s="8" t="s">
        <v>262</v>
      </c>
      <c r="F151" s="8" t="s">
        <v>38</v>
      </c>
      <c r="G151" s="8" t="s">
        <v>101</v>
      </c>
      <c r="H151" s="8" t="s">
        <v>146</v>
      </c>
      <c r="I151" s="8" t="s">
        <v>71</v>
      </c>
      <c r="J151" s="8">
        <v>79</v>
      </c>
      <c r="K151" s="8">
        <v>46</v>
      </c>
      <c r="L151" s="8">
        <v>40</v>
      </c>
      <c r="M151" s="24">
        <v>4.0999999999999996</v>
      </c>
      <c r="N151" s="15">
        <v>18000</v>
      </c>
      <c r="O151" s="15">
        <v>17300</v>
      </c>
      <c r="P151" s="8" t="s">
        <v>64</v>
      </c>
      <c r="Q151" s="8" t="s">
        <v>137</v>
      </c>
    </row>
    <row r="152" spans="1:17" ht="16" x14ac:dyDescent="0.45">
      <c r="A152" s="8" t="s">
        <v>316</v>
      </c>
      <c r="B152" s="23">
        <v>45837</v>
      </c>
      <c r="C152" s="8" t="s">
        <v>145</v>
      </c>
      <c r="D152" s="8" t="s">
        <v>59</v>
      </c>
      <c r="E152" s="8" t="s">
        <v>116</v>
      </c>
      <c r="F152" s="8" t="s">
        <v>39</v>
      </c>
      <c r="G152" s="8" t="s">
        <v>83</v>
      </c>
      <c r="H152" s="8" t="s">
        <v>62</v>
      </c>
      <c r="I152" s="8" t="s">
        <v>117</v>
      </c>
      <c r="J152" s="8">
        <v>44</v>
      </c>
      <c r="K152" s="8">
        <v>30</v>
      </c>
      <c r="L152" s="8">
        <v>20</v>
      </c>
      <c r="M152" s="24">
        <v>4</v>
      </c>
      <c r="N152" s="15">
        <v>67000</v>
      </c>
      <c r="O152" s="15">
        <v>59300</v>
      </c>
      <c r="P152" s="8" t="s">
        <v>64</v>
      </c>
      <c r="Q152" s="8" t="s">
        <v>118</v>
      </c>
    </row>
    <row r="153" spans="1:17" ht="16" x14ac:dyDescent="0.45">
      <c r="A153" s="8" t="s">
        <v>317</v>
      </c>
      <c r="B153" s="23">
        <v>45837</v>
      </c>
      <c r="C153" s="8" t="s">
        <v>145</v>
      </c>
      <c r="D153" s="8" t="s">
        <v>59</v>
      </c>
      <c r="E153" s="8" t="s">
        <v>107</v>
      </c>
      <c r="F153" s="8" t="s">
        <v>36</v>
      </c>
      <c r="G153" s="8" t="s">
        <v>108</v>
      </c>
      <c r="H153" s="8" t="s">
        <v>84</v>
      </c>
      <c r="I153" s="8" t="s">
        <v>71</v>
      </c>
      <c r="J153" s="8">
        <v>122</v>
      </c>
      <c r="K153" s="8">
        <v>102</v>
      </c>
      <c r="L153" s="8">
        <v>58</v>
      </c>
      <c r="M153" s="24">
        <v>3.9</v>
      </c>
      <c r="N153" s="15">
        <v>59500</v>
      </c>
      <c r="O153" s="15">
        <v>72200</v>
      </c>
      <c r="P153" s="8" t="s">
        <v>64</v>
      </c>
      <c r="Q153" s="8" t="s">
        <v>224</v>
      </c>
    </row>
    <row r="154" spans="1:17" ht="16" x14ac:dyDescent="0.45">
      <c r="A154" s="8" t="s">
        <v>318</v>
      </c>
      <c r="B154" s="23">
        <v>45855</v>
      </c>
      <c r="C154" s="8" t="s">
        <v>74</v>
      </c>
      <c r="D154" s="8" t="s">
        <v>59</v>
      </c>
      <c r="E154" s="8" t="s">
        <v>126</v>
      </c>
      <c r="F154" s="8" t="s">
        <v>37</v>
      </c>
      <c r="G154" s="8" t="s">
        <v>89</v>
      </c>
      <c r="H154" s="8" t="s">
        <v>62</v>
      </c>
      <c r="I154" s="8" t="s">
        <v>117</v>
      </c>
      <c r="J154" s="8">
        <v>170</v>
      </c>
      <c r="K154" s="8">
        <v>130</v>
      </c>
      <c r="L154" s="8">
        <v>234</v>
      </c>
      <c r="M154" s="24">
        <v>4.5999999999999996</v>
      </c>
      <c r="N154" s="15">
        <v>50000</v>
      </c>
      <c r="O154" s="15">
        <v>42400</v>
      </c>
      <c r="P154" s="8" t="s">
        <v>64</v>
      </c>
      <c r="Q154" s="8" t="s">
        <v>93</v>
      </c>
    </row>
    <row r="155" spans="1:17" ht="16" x14ac:dyDescent="0.45">
      <c r="A155" s="8" t="s">
        <v>319</v>
      </c>
      <c r="B155" s="23">
        <v>45856</v>
      </c>
      <c r="C155" s="8" t="s">
        <v>113</v>
      </c>
      <c r="D155" s="8" t="s">
        <v>67</v>
      </c>
      <c r="E155" s="8" t="s">
        <v>123</v>
      </c>
      <c r="F155" s="8" t="s">
        <v>38</v>
      </c>
      <c r="G155" s="8" t="s">
        <v>101</v>
      </c>
      <c r="H155" s="8" t="s">
        <v>62</v>
      </c>
      <c r="I155" s="8" t="s">
        <v>104</v>
      </c>
      <c r="J155" s="8">
        <v>180</v>
      </c>
      <c r="K155" s="8">
        <v>154</v>
      </c>
      <c r="L155" s="8">
        <v>35</v>
      </c>
      <c r="M155" s="24">
        <v>4.3</v>
      </c>
      <c r="N155" s="15">
        <v>42500</v>
      </c>
      <c r="O155" s="15">
        <v>49200</v>
      </c>
      <c r="P155" s="8" t="s">
        <v>64</v>
      </c>
      <c r="Q155" s="8" t="s">
        <v>111</v>
      </c>
    </row>
    <row r="156" spans="1:17" ht="16" x14ac:dyDescent="0.45">
      <c r="A156" s="8" t="s">
        <v>320</v>
      </c>
      <c r="B156" s="23">
        <v>45857</v>
      </c>
      <c r="C156" s="8" t="s">
        <v>81</v>
      </c>
      <c r="D156" s="8" t="s">
        <v>59</v>
      </c>
      <c r="E156" s="8" t="s">
        <v>152</v>
      </c>
      <c r="F156" s="8" t="s">
        <v>40</v>
      </c>
      <c r="G156" s="8" t="s">
        <v>69</v>
      </c>
      <c r="H156" s="8" t="s">
        <v>77</v>
      </c>
      <c r="I156" s="8" t="s">
        <v>78</v>
      </c>
      <c r="J156" s="8">
        <v>288</v>
      </c>
      <c r="K156" s="8">
        <v>150</v>
      </c>
      <c r="L156" s="8">
        <v>101</v>
      </c>
      <c r="M156" s="24">
        <v>3.9</v>
      </c>
      <c r="N156" s="15">
        <v>65000</v>
      </c>
      <c r="O156" s="15">
        <v>67300</v>
      </c>
      <c r="P156" s="8" t="s">
        <v>64</v>
      </c>
      <c r="Q156" s="8" t="s">
        <v>111</v>
      </c>
    </row>
    <row r="157" spans="1:17" ht="16" x14ac:dyDescent="0.45">
      <c r="A157" s="8" t="s">
        <v>321</v>
      </c>
      <c r="B157" s="23">
        <v>45864</v>
      </c>
      <c r="C157" s="8" t="s">
        <v>81</v>
      </c>
      <c r="D157" s="8" t="s">
        <v>59</v>
      </c>
      <c r="E157" s="8" t="s">
        <v>60</v>
      </c>
      <c r="F157" s="8" t="s">
        <v>41</v>
      </c>
      <c r="G157" s="8" t="s">
        <v>61</v>
      </c>
      <c r="H157" s="8" t="s">
        <v>77</v>
      </c>
      <c r="I157" s="8" t="s">
        <v>78</v>
      </c>
      <c r="J157" s="8">
        <v>223</v>
      </c>
      <c r="K157" s="8">
        <v>129</v>
      </c>
      <c r="L157" s="8">
        <v>163</v>
      </c>
      <c r="M157" s="24">
        <v>3.9</v>
      </c>
      <c r="N157" s="15">
        <v>23500</v>
      </c>
      <c r="O157" s="15">
        <v>23400</v>
      </c>
      <c r="P157" s="8" t="s">
        <v>64</v>
      </c>
      <c r="Q157" s="8" t="s">
        <v>65</v>
      </c>
    </row>
    <row r="158" spans="1:17" ht="16" x14ac:dyDescent="0.45">
      <c r="A158" s="8" t="s">
        <v>322</v>
      </c>
      <c r="B158" s="23">
        <v>45881</v>
      </c>
      <c r="C158" s="8" t="s">
        <v>99</v>
      </c>
      <c r="D158" s="8" t="s">
        <v>120</v>
      </c>
      <c r="E158" s="8" t="s">
        <v>121</v>
      </c>
      <c r="F158" s="8" t="s">
        <v>38</v>
      </c>
      <c r="G158" s="8" t="s">
        <v>101</v>
      </c>
      <c r="H158" s="8" t="s">
        <v>183</v>
      </c>
      <c r="I158" s="8" t="s">
        <v>85</v>
      </c>
      <c r="J158" s="8">
        <v>133</v>
      </c>
      <c r="K158" s="8">
        <v>103</v>
      </c>
      <c r="L158" s="8">
        <v>55</v>
      </c>
      <c r="M158" s="24">
        <v>4.0999999999999996</v>
      </c>
      <c r="N158" s="15">
        <v>89000</v>
      </c>
      <c r="O158" s="15">
        <v>77300</v>
      </c>
      <c r="P158" s="8" t="s">
        <v>64</v>
      </c>
      <c r="Q158" s="8" t="s">
        <v>65</v>
      </c>
    </row>
    <row r="159" spans="1:17" ht="16" x14ac:dyDescent="0.45">
      <c r="A159" s="8" t="s">
        <v>323</v>
      </c>
      <c r="B159" s="23">
        <v>45885</v>
      </c>
      <c r="C159" s="8" t="s">
        <v>81</v>
      </c>
      <c r="D159" s="8" t="s">
        <v>59</v>
      </c>
      <c r="E159" s="8" t="s">
        <v>273</v>
      </c>
      <c r="F159" s="8" t="s">
        <v>41</v>
      </c>
      <c r="G159" s="8" t="s">
        <v>61</v>
      </c>
      <c r="H159" s="8" t="s">
        <v>62</v>
      </c>
      <c r="I159" s="8" t="s">
        <v>63</v>
      </c>
      <c r="J159" s="8">
        <v>92</v>
      </c>
      <c r="K159" s="8">
        <v>57</v>
      </c>
      <c r="L159" s="8">
        <v>92</v>
      </c>
      <c r="M159" s="24">
        <v>4.0999999999999996</v>
      </c>
      <c r="N159" s="15">
        <v>13500</v>
      </c>
      <c r="O159" s="15">
        <v>13900</v>
      </c>
      <c r="P159" s="8" t="s">
        <v>64</v>
      </c>
      <c r="Q159" s="8" t="s">
        <v>142</v>
      </c>
    </row>
    <row r="160" spans="1:17" ht="16" x14ac:dyDescent="0.45">
      <c r="A160" s="8" t="s">
        <v>324</v>
      </c>
      <c r="B160" s="23">
        <v>45885</v>
      </c>
      <c r="C160" s="8" t="s">
        <v>81</v>
      </c>
      <c r="D160" s="8" t="s">
        <v>59</v>
      </c>
      <c r="E160" s="8" t="s">
        <v>194</v>
      </c>
      <c r="F160" s="8" t="s">
        <v>38</v>
      </c>
      <c r="G160" s="8" t="s">
        <v>101</v>
      </c>
      <c r="H160" s="8" t="s">
        <v>62</v>
      </c>
      <c r="I160" s="8" t="s">
        <v>104</v>
      </c>
      <c r="J160" s="8">
        <v>57</v>
      </c>
      <c r="K160" s="8">
        <v>34</v>
      </c>
      <c r="L160" s="8">
        <v>17</v>
      </c>
      <c r="M160" s="24">
        <v>4</v>
      </c>
      <c r="N160" s="15">
        <v>24500</v>
      </c>
      <c r="O160" s="15">
        <v>22800</v>
      </c>
      <c r="P160" s="8" t="s">
        <v>64</v>
      </c>
      <c r="Q160" s="8" t="s">
        <v>224</v>
      </c>
    </row>
    <row r="161" spans="1:17" ht="16" x14ac:dyDescent="0.45">
      <c r="A161" s="8" t="s">
        <v>325</v>
      </c>
      <c r="B161" s="23">
        <v>45886</v>
      </c>
      <c r="C161" s="8" t="s">
        <v>145</v>
      </c>
      <c r="D161" s="8" t="s">
        <v>59</v>
      </c>
      <c r="E161" s="8" t="s">
        <v>150</v>
      </c>
      <c r="F161" s="8" t="s">
        <v>36</v>
      </c>
      <c r="G161" s="8" t="s">
        <v>108</v>
      </c>
      <c r="H161" s="8" t="s">
        <v>77</v>
      </c>
      <c r="I161" s="8" t="s">
        <v>78</v>
      </c>
      <c r="J161" s="8">
        <v>117</v>
      </c>
      <c r="K161" s="8">
        <v>76</v>
      </c>
      <c r="L161" s="8">
        <v>38</v>
      </c>
      <c r="M161" s="24">
        <v>4.5</v>
      </c>
      <c r="N161" s="15">
        <v>45000</v>
      </c>
      <c r="O161" s="15">
        <v>52500</v>
      </c>
      <c r="P161" s="8" t="s">
        <v>64</v>
      </c>
      <c r="Q161" s="8" t="s">
        <v>137</v>
      </c>
    </row>
    <row r="162" spans="1:17" ht="16" x14ac:dyDescent="0.45">
      <c r="A162" s="8" t="s">
        <v>326</v>
      </c>
      <c r="B162" s="23">
        <v>45886</v>
      </c>
      <c r="C162" s="8" t="s">
        <v>145</v>
      </c>
      <c r="D162" s="8" t="s">
        <v>59</v>
      </c>
      <c r="E162" s="8" t="s">
        <v>110</v>
      </c>
      <c r="F162" s="8" t="s">
        <v>36</v>
      </c>
      <c r="G162" s="8" t="s">
        <v>108</v>
      </c>
      <c r="H162" s="8" t="s">
        <v>77</v>
      </c>
      <c r="I162" s="8" t="s">
        <v>78</v>
      </c>
      <c r="J162" s="8">
        <v>91</v>
      </c>
      <c r="K162" s="8">
        <v>49</v>
      </c>
      <c r="L162" s="8">
        <v>33</v>
      </c>
      <c r="M162" s="24">
        <v>4.0999999999999996</v>
      </c>
      <c r="N162" s="15">
        <v>20500</v>
      </c>
      <c r="O162" s="15">
        <v>25600</v>
      </c>
      <c r="P162" s="8" t="s">
        <v>64</v>
      </c>
      <c r="Q162" s="8" t="s">
        <v>327</v>
      </c>
    </row>
    <row r="163" spans="1:17" ht="16" x14ac:dyDescent="0.45">
      <c r="A163" s="8" t="s">
        <v>328</v>
      </c>
      <c r="B163" s="23">
        <v>45903</v>
      </c>
      <c r="C163" s="8" t="s">
        <v>58</v>
      </c>
      <c r="D163" s="8" t="s">
        <v>59</v>
      </c>
      <c r="E163" s="8" t="s">
        <v>163</v>
      </c>
      <c r="F163" s="8" t="s">
        <v>36</v>
      </c>
      <c r="G163" s="8" t="s">
        <v>108</v>
      </c>
      <c r="H163" s="8" t="s">
        <v>62</v>
      </c>
      <c r="I163" s="8" t="s">
        <v>104</v>
      </c>
      <c r="J163" s="8">
        <v>101</v>
      </c>
      <c r="K163" s="8">
        <v>72</v>
      </c>
      <c r="L163" s="8">
        <v>41</v>
      </c>
      <c r="M163" s="24">
        <v>4.7</v>
      </c>
      <c r="N163" s="15">
        <v>33000</v>
      </c>
      <c r="O163" s="15">
        <v>35500</v>
      </c>
      <c r="P163" s="8" t="s">
        <v>64</v>
      </c>
      <c r="Q163" s="8" t="s">
        <v>137</v>
      </c>
    </row>
    <row r="164" spans="1:17" ht="16" x14ac:dyDescent="0.45">
      <c r="A164" s="8" t="s">
        <v>329</v>
      </c>
      <c r="B164" s="23">
        <v>45904</v>
      </c>
      <c r="C164" s="8" t="s">
        <v>74</v>
      </c>
      <c r="D164" s="8" t="s">
        <v>120</v>
      </c>
      <c r="E164" s="8" t="s">
        <v>100</v>
      </c>
      <c r="F164" s="8" t="s">
        <v>38</v>
      </c>
      <c r="G164" s="8" t="s">
        <v>101</v>
      </c>
      <c r="H164" s="8" t="s">
        <v>146</v>
      </c>
      <c r="I164" s="8" t="s">
        <v>63</v>
      </c>
      <c r="J164" s="8">
        <v>144</v>
      </c>
      <c r="K164" s="8">
        <v>123</v>
      </c>
      <c r="L164" s="8">
        <v>79</v>
      </c>
      <c r="M164" s="24">
        <v>4.3</v>
      </c>
      <c r="N164" s="15">
        <v>81000</v>
      </c>
      <c r="O164" s="15">
        <v>68900</v>
      </c>
      <c r="P164" s="8" t="s">
        <v>64</v>
      </c>
      <c r="Q164" s="8" t="s">
        <v>118</v>
      </c>
    </row>
    <row r="165" spans="1:17" ht="16" x14ac:dyDescent="0.45">
      <c r="A165" s="8" t="s">
        <v>330</v>
      </c>
      <c r="B165" s="23">
        <v>45905</v>
      </c>
      <c r="C165" s="8" t="s">
        <v>113</v>
      </c>
      <c r="D165" s="8" t="s">
        <v>75</v>
      </c>
      <c r="E165" s="8" t="s">
        <v>129</v>
      </c>
      <c r="F165" s="8" t="s">
        <v>40</v>
      </c>
      <c r="G165" s="8" t="s">
        <v>69</v>
      </c>
      <c r="H165" s="8" t="s">
        <v>77</v>
      </c>
      <c r="I165" s="8" t="s">
        <v>78</v>
      </c>
      <c r="J165" s="8">
        <v>127</v>
      </c>
      <c r="K165" s="8">
        <v>66</v>
      </c>
      <c r="L165" s="8">
        <v>46</v>
      </c>
      <c r="M165" s="24">
        <v>3.8</v>
      </c>
      <c r="N165" s="15">
        <v>54500</v>
      </c>
      <c r="O165" s="15">
        <v>47500</v>
      </c>
      <c r="P165" s="8" t="s">
        <v>64</v>
      </c>
      <c r="Q165" s="8" t="s">
        <v>331</v>
      </c>
    </row>
    <row r="166" spans="1:17" ht="16" x14ac:dyDescent="0.45">
      <c r="A166" s="8" t="s">
        <v>332</v>
      </c>
      <c r="B166" s="23">
        <v>45908</v>
      </c>
      <c r="C166" s="8" t="s">
        <v>170</v>
      </c>
      <c r="D166" s="8" t="s">
        <v>67</v>
      </c>
      <c r="E166" s="8" t="s">
        <v>116</v>
      </c>
      <c r="F166" s="8" t="s">
        <v>39</v>
      </c>
      <c r="G166" s="8" t="s">
        <v>83</v>
      </c>
      <c r="H166" s="8" t="s">
        <v>183</v>
      </c>
      <c r="I166" s="8" t="s">
        <v>85</v>
      </c>
      <c r="J166" s="8">
        <v>62</v>
      </c>
      <c r="K166" s="8">
        <v>0</v>
      </c>
      <c r="L166" s="8">
        <v>0</v>
      </c>
      <c r="M166" s="24"/>
      <c r="N166" s="15">
        <v>45000</v>
      </c>
      <c r="O166" s="15">
        <v>4500</v>
      </c>
      <c r="P166" s="8" t="s">
        <v>96</v>
      </c>
      <c r="Q166" s="8" t="s">
        <v>118</v>
      </c>
    </row>
    <row r="167" spans="1:17" ht="16" x14ac:dyDescent="0.45">
      <c r="A167" s="8" t="s">
        <v>333</v>
      </c>
      <c r="B167" s="23">
        <v>45909</v>
      </c>
      <c r="C167" s="8" t="s">
        <v>99</v>
      </c>
      <c r="D167" s="8" t="s">
        <v>67</v>
      </c>
      <c r="E167" s="8" t="s">
        <v>107</v>
      </c>
      <c r="F167" s="8" t="s">
        <v>36</v>
      </c>
      <c r="G167" s="8" t="s">
        <v>108</v>
      </c>
      <c r="H167" s="8" t="s">
        <v>62</v>
      </c>
      <c r="I167" s="8" t="s">
        <v>104</v>
      </c>
      <c r="J167" s="8">
        <v>28</v>
      </c>
      <c r="K167" s="8">
        <v>26</v>
      </c>
      <c r="L167" s="8">
        <v>17</v>
      </c>
      <c r="M167" s="24">
        <v>4.5</v>
      </c>
      <c r="N167" s="15">
        <v>11000</v>
      </c>
      <c r="O167" s="15">
        <v>14000</v>
      </c>
      <c r="P167" s="8" t="s">
        <v>64</v>
      </c>
      <c r="Q167" s="8" t="s">
        <v>258</v>
      </c>
    </row>
    <row r="168" spans="1:17" ht="16" x14ac:dyDescent="0.45">
      <c r="A168" s="8" t="s">
        <v>334</v>
      </c>
      <c r="B168" s="23">
        <v>45911</v>
      </c>
      <c r="C168" s="8" t="s">
        <v>74</v>
      </c>
      <c r="D168" s="8" t="s">
        <v>67</v>
      </c>
      <c r="E168" s="8" t="s">
        <v>68</v>
      </c>
      <c r="F168" s="8" t="s">
        <v>40</v>
      </c>
      <c r="G168" s="8" t="s">
        <v>69</v>
      </c>
      <c r="H168" s="8" t="s">
        <v>77</v>
      </c>
      <c r="I168" s="8" t="s">
        <v>78</v>
      </c>
      <c r="J168" s="8">
        <v>197</v>
      </c>
      <c r="K168" s="8">
        <v>95</v>
      </c>
      <c r="L168" s="8">
        <v>83</v>
      </c>
      <c r="M168" s="24">
        <v>3.7</v>
      </c>
      <c r="N168" s="15">
        <v>86000</v>
      </c>
      <c r="O168" s="15">
        <v>78400</v>
      </c>
      <c r="P168" s="8" t="s">
        <v>64</v>
      </c>
      <c r="Q168" s="8" t="s">
        <v>111</v>
      </c>
    </row>
    <row r="169" spans="1:17" ht="16" x14ac:dyDescent="0.45">
      <c r="A169" s="8" t="s">
        <v>335</v>
      </c>
      <c r="B169" s="23">
        <v>45913</v>
      </c>
      <c r="C169" s="8" t="s">
        <v>81</v>
      </c>
      <c r="D169" s="8" t="s">
        <v>59</v>
      </c>
      <c r="E169" s="8" t="s">
        <v>95</v>
      </c>
      <c r="F169" s="8" t="s">
        <v>40</v>
      </c>
      <c r="G169" s="8" t="s">
        <v>69</v>
      </c>
      <c r="H169" s="8" t="s">
        <v>77</v>
      </c>
      <c r="I169" s="8" t="s">
        <v>78</v>
      </c>
      <c r="J169" s="8">
        <v>107</v>
      </c>
      <c r="K169" s="8">
        <v>64</v>
      </c>
      <c r="L169" s="8">
        <v>32</v>
      </c>
      <c r="M169" s="24">
        <v>4</v>
      </c>
      <c r="N169" s="15">
        <v>47000</v>
      </c>
      <c r="O169" s="15">
        <v>47100</v>
      </c>
      <c r="P169" s="8" t="s">
        <v>64</v>
      </c>
      <c r="Q169" s="8" t="s">
        <v>137</v>
      </c>
    </row>
    <row r="170" spans="1:17" ht="16" x14ac:dyDescent="0.45">
      <c r="A170" s="8" t="s">
        <v>336</v>
      </c>
      <c r="B170" s="23">
        <v>45917</v>
      </c>
      <c r="C170" s="8" t="s">
        <v>58</v>
      </c>
      <c r="D170" s="8" t="s">
        <v>75</v>
      </c>
      <c r="E170" s="8" t="s">
        <v>107</v>
      </c>
      <c r="F170" s="8" t="s">
        <v>36</v>
      </c>
      <c r="G170" s="8" t="s">
        <v>108</v>
      </c>
      <c r="H170" s="8" t="s">
        <v>77</v>
      </c>
      <c r="I170" s="8" t="s">
        <v>78</v>
      </c>
      <c r="J170" s="8">
        <v>143</v>
      </c>
      <c r="K170" s="8">
        <v>76</v>
      </c>
      <c r="L170" s="8">
        <v>35</v>
      </c>
      <c r="M170" s="24">
        <v>4.0999999999999996</v>
      </c>
      <c r="N170" s="15">
        <v>12500</v>
      </c>
      <c r="O170" s="15">
        <v>15200</v>
      </c>
      <c r="P170" s="8" t="s">
        <v>64</v>
      </c>
      <c r="Q170" s="8" t="s">
        <v>337</v>
      </c>
    </row>
    <row r="171" spans="1:17" ht="16" x14ac:dyDescent="0.45">
      <c r="A171" s="8" t="s">
        <v>338</v>
      </c>
      <c r="B171" s="23">
        <v>45917</v>
      </c>
      <c r="C171" s="8" t="s">
        <v>58</v>
      </c>
      <c r="D171" s="8" t="s">
        <v>120</v>
      </c>
      <c r="E171" s="8" t="s">
        <v>116</v>
      </c>
      <c r="F171" s="8" t="s">
        <v>39</v>
      </c>
      <c r="G171" s="8" t="s">
        <v>83</v>
      </c>
      <c r="H171" s="8" t="s">
        <v>146</v>
      </c>
      <c r="I171" s="8" t="s">
        <v>63</v>
      </c>
      <c r="J171" s="8">
        <v>115</v>
      </c>
      <c r="K171" s="8">
        <v>113</v>
      </c>
      <c r="L171" s="8">
        <v>71</v>
      </c>
      <c r="M171" s="24">
        <v>3.7</v>
      </c>
      <c r="N171" s="15">
        <v>74500</v>
      </c>
      <c r="O171" s="15">
        <v>61500</v>
      </c>
      <c r="P171" s="8" t="s">
        <v>64</v>
      </c>
      <c r="Q171" s="8" t="s">
        <v>93</v>
      </c>
    </row>
    <row r="172" spans="1:17" ht="16" x14ac:dyDescent="0.45">
      <c r="A172" s="8" t="s">
        <v>339</v>
      </c>
      <c r="B172" s="23">
        <v>45921</v>
      </c>
      <c r="C172" s="8" t="s">
        <v>145</v>
      </c>
      <c r="D172" s="8" t="s">
        <v>59</v>
      </c>
      <c r="E172" s="8" t="s">
        <v>92</v>
      </c>
      <c r="F172" s="8" t="s">
        <v>41</v>
      </c>
      <c r="G172" s="8" t="s">
        <v>61</v>
      </c>
      <c r="H172" s="8" t="s">
        <v>62</v>
      </c>
      <c r="I172" s="8" t="s">
        <v>85</v>
      </c>
      <c r="J172" s="8">
        <v>135</v>
      </c>
      <c r="K172" s="8">
        <v>85</v>
      </c>
      <c r="L172" s="8">
        <v>72</v>
      </c>
      <c r="M172" s="24"/>
      <c r="N172" s="15">
        <v>57500</v>
      </c>
      <c r="O172" s="15">
        <v>49300</v>
      </c>
      <c r="P172" s="8" t="s">
        <v>64</v>
      </c>
      <c r="Q172" s="8" t="s">
        <v>111</v>
      </c>
    </row>
    <row r="173" spans="1:17" ht="16" x14ac:dyDescent="0.45">
      <c r="A173" s="8" t="s">
        <v>340</v>
      </c>
      <c r="B173" s="23">
        <v>45921</v>
      </c>
      <c r="C173" s="8" t="s">
        <v>145</v>
      </c>
      <c r="D173" s="8" t="s">
        <v>59</v>
      </c>
      <c r="E173" s="8" t="s">
        <v>150</v>
      </c>
      <c r="F173" s="8" t="s">
        <v>36</v>
      </c>
      <c r="G173" s="8" t="s">
        <v>108</v>
      </c>
      <c r="H173" s="8" t="s">
        <v>77</v>
      </c>
      <c r="I173" s="8" t="s">
        <v>78</v>
      </c>
      <c r="J173" s="8">
        <v>153</v>
      </c>
      <c r="K173" s="8">
        <v>96</v>
      </c>
      <c r="L173" s="8">
        <v>34</v>
      </c>
      <c r="M173" s="24">
        <v>4.5</v>
      </c>
      <c r="N173" s="15">
        <v>30500</v>
      </c>
      <c r="O173" s="15">
        <v>35400</v>
      </c>
      <c r="P173" s="8" t="s">
        <v>64</v>
      </c>
      <c r="Q173" s="8" t="s">
        <v>111</v>
      </c>
    </row>
    <row r="174" spans="1:17" ht="16" x14ac:dyDescent="0.45">
      <c r="A174" s="8" t="s">
        <v>341</v>
      </c>
      <c r="B174" s="23">
        <v>45927</v>
      </c>
      <c r="C174" s="8" t="s">
        <v>81</v>
      </c>
      <c r="D174" s="8" t="s">
        <v>59</v>
      </c>
      <c r="E174" s="8" t="s">
        <v>165</v>
      </c>
      <c r="F174" s="8" t="s">
        <v>38</v>
      </c>
      <c r="G174" s="8" t="s">
        <v>101</v>
      </c>
      <c r="H174" s="8" t="s">
        <v>167</v>
      </c>
      <c r="I174" s="8" t="s">
        <v>85</v>
      </c>
      <c r="J174" s="8">
        <v>116</v>
      </c>
      <c r="K174" s="8">
        <v>65</v>
      </c>
      <c r="L174" s="8">
        <v>58</v>
      </c>
      <c r="M174" s="24">
        <v>4.4000000000000004</v>
      </c>
      <c r="N174" s="15">
        <v>80500</v>
      </c>
      <c r="O174" s="15">
        <v>66600</v>
      </c>
      <c r="P174" s="8" t="s">
        <v>64</v>
      </c>
      <c r="Q174" s="8" t="s">
        <v>65</v>
      </c>
    </row>
    <row r="175" spans="1:17" ht="16" x14ac:dyDescent="0.45">
      <c r="A175" s="8" t="s">
        <v>342</v>
      </c>
      <c r="B175" s="23">
        <v>45933</v>
      </c>
      <c r="C175" s="8" t="s">
        <v>113</v>
      </c>
      <c r="D175" s="8" t="s">
        <v>120</v>
      </c>
      <c r="E175" s="8" t="s">
        <v>123</v>
      </c>
      <c r="F175" s="8" t="s">
        <v>38</v>
      </c>
      <c r="G175" s="8" t="s">
        <v>101</v>
      </c>
      <c r="H175" s="8" t="s">
        <v>70</v>
      </c>
      <c r="I175" s="8" t="s">
        <v>85</v>
      </c>
      <c r="J175" s="8">
        <v>136</v>
      </c>
      <c r="K175" s="8">
        <v>0</v>
      </c>
      <c r="L175" s="8">
        <v>0</v>
      </c>
      <c r="M175" s="24"/>
      <c r="N175" s="15">
        <v>75500</v>
      </c>
      <c r="O175" s="15">
        <v>7550</v>
      </c>
      <c r="P175" s="8" t="s">
        <v>96</v>
      </c>
      <c r="Q175" s="8" t="s">
        <v>168</v>
      </c>
    </row>
    <row r="176" spans="1:17" ht="16" x14ac:dyDescent="0.45">
      <c r="A176" s="8" t="s">
        <v>343</v>
      </c>
      <c r="B176" s="23">
        <v>45938</v>
      </c>
      <c r="C176" s="8" t="s">
        <v>58</v>
      </c>
      <c r="D176" s="8" t="s">
        <v>120</v>
      </c>
      <c r="E176" s="8" t="s">
        <v>262</v>
      </c>
      <c r="F176" s="8" t="s">
        <v>38</v>
      </c>
      <c r="G176" s="8" t="s">
        <v>101</v>
      </c>
      <c r="H176" s="8" t="s">
        <v>62</v>
      </c>
      <c r="I176" s="8" t="s">
        <v>117</v>
      </c>
      <c r="J176" s="8">
        <v>45</v>
      </c>
      <c r="K176" s="8">
        <v>37</v>
      </c>
      <c r="L176" s="8">
        <v>32</v>
      </c>
      <c r="M176" s="24">
        <v>4.2</v>
      </c>
      <c r="N176" s="15">
        <v>46000</v>
      </c>
      <c r="O176" s="15">
        <v>49900</v>
      </c>
      <c r="P176" s="8" t="s">
        <v>64</v>
      </c>
      <c r="Q176" s="8" t="s">
        <v>142</v>
      </c>
    </row>
    <row r="177" spans="1:17" ht="16" x14ac:dyDescent="0.45">
      <c r="A177" s="8" t="s">
        <v>344</v>
      </c>
      <c r="B177" s="23">
        <v>45939</v>
      </c>
      <c r="C177" s="8" t="s">
        <v>74</v>
      </c>
      <c r="D177" s="8" t="s">
        <v>75</v>
      </c>
      <c r="E177" s="8" t="s">
        <v>103</v>
      </c>
      <c r="F177" s="8" t="s">
        <v>37</v>
      </c>
      <c r="G177" s="8" t="s">
        <v>89</v>
      </c>
      <c r="H177" s="8" t="s">
        <v>77</v>
      </c>
      <c r="I177" s="8" t="s">
        <v>78</v>
      </c>
      <c r="J177" s="8">
        <v>205</v>
      </c>
      <c r="K177" s="8">
        <v>107</v>
      </c>
      <c r="L177" s="8">
        <v>176</v>
      </c>
      <c r="M177" s="24">
        <v>4.0999999999999996</v>
      </c>
      <c r="N177" s="15">
        <v>70000</v>
      </c>
      <c r="O177" s="15">
        <v>67900</v>
      </c>
      <c r="P177" s="8" t="s">
        <v>64</v>
      </c>
      <c r="Q177" s="8" t="s">
        <v>137</v>
      </c>
    </row>
    <row r="178" spans="1:17" ht="16" x14ac:dyDescent="0.45">
      <c r="A178" s="8" t="s">
        <v>345</v>
      </c>
      <c r="B178" s="23">
        <v>45941</v>
      </c>
      <c r="C178" s="8" t="s">
        <v>81</v>
      </c>
      <c r="D178" s="8" t="s">
        <v>59</v>
      </c>
      <c r="E178" s="8" t="s">
        <v>139</v>
      </c>
      <c r="F178" s="8" t="s">
        <v>39</v>
      </c>
      <c r="G178" s="8" t="s">
        <v>83</v>
      </c>
      <c r="H178" s="8" t="s">
        <v>62</v>
      </c>
      <c r="I178" s="8" t="s">
        <v>117</v>
      </c>
      <c r="J178" s="8">
        <v>81</v>
      </c>
      <c r="K178" s="8">
        <v>52</v>
      </c>
      <c r="L178" s="8">
        <v>30</v>
      </c>
      <c r="M178" s="24">
        <v>4.4000000000000004</v>
      </c>
      <c r="N178" s="15">
        <v>48000</v>
      </c>
      <c r="O178" s="15">
        <v>46900</v>
      </c>
      <c r="P178" s="8" t="s">
        <v>64</v>
      </c>
      <c r="Q178" s="8" t="s">
        <v>217</v>
      </c>
    </row>
    <row r="179" spans="1:17" ht="16" x14ac:dyDescent="0.45">
      <c r="A179" s="8" t="s">
        <v>346</v>
      </c>
      <c r="B179" s="23">
        <v>45941</v>
      </c>
      <c r="C179" s="8" t="s">
        <v>81</v>
      </c>
      <c r="D179" s="8" t="s">
        <v>59</v>
      </c>
      <c r="E179" s="8" t="s">
        <v>100</v>
      </c>
      <c r="F179" s="8" t="s">
        <v>38</v>
      </c>
      <c r="G179" s="8" t="s">
        <v>101</v>
      </c>
      <c r="H179" s="8" t="s">
        <v>62</v>
      </c>
      <c r="I179" s="8" t="s">
        <v>71</v>
      </c>
      <c r="J179" s="8">
        <v>93</v>
      </c>
      <c r="K179" s="8">
        <v>46</v>
      </c>
      <c r="L179" s="8">
        <v>20</v>
      </c>
      <c r="M179" s="24">
        <v>4</v>
      </c>
      <c r="N179" s="15">
        <v>56500</v>
      </c>
      <c r="O179" s="15">
        <v>54100</v>
      </c>
      <c r="P179" s="8" t="s">
        <v>64</v>
      </c>
      <c r="Q179" s="8" t="s">
        <v>124</v>
      </c>
    </row>
    <row r="180" spans="1:17" ht="16" x14ac:dyDescent="0.45">
      <c r="A180" s="8" t="s">
        <v>347</v>
      </c>
      <c r="B180" s="23">
        <v>45943</v>
      </c>
      <c r="C180" s="8" t="s">
        <v>170</v>
      </c>
      <c r="D180" s="8" t="s">
        <v>75</v>
      </c>
      <c r="E180" s="8" t="s">
        <v>68</v>
      </c>
      <c r="F180" s="8" t="s">
        <v>40</v>
      </c>
      <c r="G180" s="8" t="s">
        <v>69</v>
      </c>
      <c r="H180" s="8" t="s">
        <v>62</v>
      </c>
      <c r="I180" s="8" t="s">
        <v>117</v>
      </c>
      <c r="J180" s="8">
        <v>111</v>
      </c>
      <c r="K180" s="8">
        <v>100</v>
      </c>
      <c r="L180" s="8">
        <v>54</v>
      </c>
      <c r="M180" s="24">
        <v>4.4000000000000004</v>
      </c>
      <c r="N180" s="15">
        <v>60000</v>
      </c>
      <c r="O180" s="15">
        <v>54600</v>
      </c>
      <c r="P180" s="8" t="s">
        <v>64</v>
      </c>
      <c r="Q180" s="8" t="s">
        <v>93</v>
      </c>
    </row>
    <row r="181" spans="1:17" ht="16" x14ac:dyDescent="0.45">
      <c r="A181" s="8" t="s">
        <v>348</v>
      </c>
      <c r="B181" s="23">
        <v>45944</v>
      </c>
      <c r="C181" s="8" t="s">
        <v>99</v>
      </c>
      <c r="D181" s="8" t="s">
        <v>67</v>
      </c>
      <c r="E181" s="8" t="s">
        <v>126</v>
      </c>
      <c r="F181" s="8" t="s">
        <v>37</v>
      </c>
      <c r="G181" s="8" t="s">
        <v>89</v>
      </c>
      <c r="H181" s="8" t="s">
        <v>70</v>
      </c>
      <c r="I181" s="8" t="s">
        <v>63</v>
      </c>
      <c r="J181" s="8">
        <v>111</v>
      </c>
      <c r="K181" s="8">
        <v>106</v>
      </c>
      <c r="L181" s="8">
        <v>76</v>
      </c>
      <c r="M181" s="24">
        <v>4.0999999999999996</v>
      </c>
      <c r="N181" s="15">
        <v>64500</v>
      </c>
      <c r="O181" s="15">
        <v>55600</v>
      </c>
      <c r="P181" s="8" t="s">
        <v>64</v>
      </c>
      <c r="Q181" s="8" t="s">
        <v>93</v>
      </c>
    </row>
    <row r="182" spans="1:17" ht="16" x14ac:dyDescent="0.45">
      <c r="A182" s="8" t="s">
        <v>349</v>
      </c>
      <c r="B182" s="23">
        <v>45945</v>
      </c>
      <c r="C182" s="8" t="s">
        <v>58</v>
      </c>
      <c r="D182" s="8" t="s">
        <v>67</v>
      </c>
      <c r="E182" s="8" t="s">
        <v>161</v>
      </c>
      <c r="F182" s="8" t="s">
        <v>36</v>
      </c>
      <c r="G182" s="8" t="s">
        <v>108</v>
      </c>
      <c r="H182" s="8" t="s">
        <v>77</v>
      </c>
      <c r="I182" s="8" t="s">
        <v>78</v>
      </c>
      <c r="J182" s="8">
        <v>175</v>
      </c>
      <c r="K182" s="8">
        <v>78</v>
      </c>
      <c r="L182" s="8">
        <v>39</v>
      </c>
      <c r="M182" s="24">
        <v>4.3</v>
      </c>
      <c r="N182" s="15">
        <v>73500</v>
      </c>
      <c r="O182" s="15">
        <v>84300</v>
      </c>
      <c r="P182" s="8" t="s">
        <v>64</v>
      </c>
      <c r="Q182" s="8" t="s">
        <v>65</v>
      </c>
    </row>
    <row r="183" spans="1:17" ht="16" x14ac:dyDescent="0.45">
      <c r="A183" s="8" t="s">
        <v>350</v>
      </c>
      <c r="B183" s="23">
        <v>45945</v>
      </c>
      <c r="C183" s="8" t="s">
        <v>58</v>
      </c>
      <c r="D183" s="8" t="s">
        <v>67</v>
      </c>
      <c r="E183" s="8" t="s">
        <v>103</v>
      </c>
      <c r="F183" s="8" t="s">
        <v>37</v>
      </c>
      <c r="G183" s="8" t="s">
        <v>89</v>
      </c>
      <c r="H183" s="8" t="s">
        <v>62</v>
      </c>
      <c r="I183" s="8" t="s">
        <v>71</v>
      </c>
      <c r="J183" s="8">
        <v>61</v>
      </c>
      <c r="K183" s="8">
        <v>60</v>
      </c>
      <c r="L183" s="8">
        <v>91</v>
      </c>
      <c r="M183" s="24">
        <v>4.4000000000000004</v>
      </c>
      <c r="N183" s="15">
        <v>15500</v>
      </c>
      <c r="O183" s="15">
        <v>12800</v>
      </c>
      <c r="P183" s="8" t="s">
        <v>64</v>
      </c>
      <c r="Q183" s="8" t="s">
        <v>351</v>
      </c>
    </row>
    <row r="184" spans="1:17" ht="16" x14ac:dyDescent="0.45">
      <c r="A184" s="8" t="s">
        <v>352</v>
      </c>
      <c r="B184" s="23">
        <v>45946</v>
      </c>
      <c r="C184" s="8" t="s">
        <v>74</v>
      </c>
      <c r="D184" s="8" t="s">
        <v>75</v>
      </c>
      <c r="E184" s="8" t="s">
        <v>305</v>
      </c>
      <c r="F184" s="8" t="s">
        <v>41</v>
      </c>
      <c r="G184" s="8" t="s">
        <v>61</v>
      </c>
      <c r="H184" s="8" t="s">
        <v>156</v>
      </c>
      <c r="I184" s="8" t="s">
        <v>85</v>
      </c>
      <c r="J184" s="8">
        <v>98</v>
      </c>
      <c r="K184" s="8">
        <v>79</v>
      </c>
      <c r="L184" s="8">
        <v>71</v>
      </c>
      <c r="M184" s="24">
        <v>4.0999999999999996</v>
      </c>
      <c r="N184" s="15">
        <v>10500</v>
      </c>
      <c r="O184" s="15">
        <v>9900</v>
      </c>
      <c r="P184" s="8" t="s">
        <v>64</v>
      </c>
      <c r="Q184" s="8" t="s">
        <v>93</v>
      </c>
    </row>
    <row r="185" spans="1:17" ht="16" x14ac:dyDescent="0.45">
      <c r="A185" s="8" t="s">
        <v>353</v>
      </c>
      <c r="B185" s="23">
        <v>45948</v>
      </c>
      <c r="C185" s="8" t="s">
        <v>81</v>
      </c>
      <c r="D185" s="8" t="s">
        <v>59</v>
      </c>
      <c r="E185" s="8" t="s">
        <v>139</v>
      </c>
      <c r="F185" s="8" t="s">
        <v>39</v>
      </c>
      <c r="G185" s="8" t="s">
        <v>83</v>
      </c>
      <c r="H185" s="8" t="s">
        <v>62</v>
      </c>
      <c r="I185" s="8" t="s">
        <v>85</v>
      </c>
      <c r="J185" s="8">
        <v>111</v>
      </c>
      <c r="K185" s="8">
        <v>73</v>
      </c>
      <c r="L185" s="8">
        <v>52</v>
      </c>
      <c r="M185" s="24">
        <v>4.2</v>
      </c>
      <c r="N185" s="15">
        <v>83000</v>
      </c>
      <c r="O185" s="15">
        <v>75500</v>
      </c>
      <c r="P185" s="8" t="s">
        <v>64</v>
      </c>
      <c r="Q185" s="8" t="s">
        <v>65</v>
      </c>
    </row>
    <row r="186" spans="1:17" ht="16" x14ac:dyDescent="0.45">
      <c r="A186" s="8" t="s">
        <v>354</v>
      </c>
      <c r="B186" s="23">
        <v>45949</v>
      </c>
      <c r="C186" s="8" t="s">
        <v>145</v>
      </c>
      <c r="D186" s="8" t="s">
        <v>59</v>
      </c>
      <c r="E186" s="8" t="s">
        <v>110</v>
      </c>
      <c r="F186" s="8" t="s">
        <v>36</v>
      </c>
      <c r="G186" s="8" t="s">
        <v>108</v>
      </c>
      <c r="H186" s="8" t="s">
        <v>62</v>
      </c>
      <c r="I186" s="8" t="s">
        <v>104</v>
      </c>
      <c r="J186" s="8">
        <v>104</v>
      </c>
      <c r="K186" s="8">
        <v>75</v>
      </c>
      <c r="L186" s="8">
        <v>58</v>
      </c>
      <c r="M186" s="24">
        <v>4.9000000000000004</v>
      </c>
      <c r="N186" s="15">
        <v>42000</v>
      </c>
      <c r="O186" s="15">
        <v>54300</v>
      </c>
      <c r="P186" s="8" t="s">
        <v>64</v>
      </c>
      <c r="Q186" s="8" t="s">
        <v>127</v>
      </c>
    </row>
    <row r="187" spans="1:17" ht="16" x14ac:dyDescent="0.45">
      <c r="A187" s="8" t="s">
        <v>355</v>
      </c>
      <c r="B187" s="23">
        <v>45952</v>
      </c>
      <c r="C187" s="8" t="s">
        <v>58</v>
      </c>
      <c r="D187" s="8" t="s">
        <v>67</v>
      </c>
      <c r="E187" s="8" t="s">
        <v>92</v>
      </c>
      <c r="F187" s="8" t="s">
        <v>41</v>
      </c>
      <c r="G187" s="8" t="s">
        <v>61</v>
      </c>
      <c r="H187" s="8" t="s">
        <v>84</v>
      </c>
      <c r="I187" s="8" t="s">
        <v>85</v>
      </c>
      <c r="J187" s="8">
        <v>176</v>
      </c>
      <c r="K187" s="8">
        <v>163</v>
      </c>
      <c r="L187" s="8">
        <v>335</v>
      </c>
      <c r="M187" s="24">
        <v>4.0999999999999996</v>
      </c>
      <c r="N187" s="15">
        <v>19000</v>
      </c>
      <c r="O187" s="15">
        <v>16900</v>
      </c>
      <c r="P187" s="8" t="s">
        <v>64</v>
      </c>
      <c r="Q187" s="8" t="s">
        <v>111</v>
      </c>
    </row>
    <row r="188" spans="1:17" ht="16" x14ac:dyDescent="0.45">
      <c r="A188" s="8" t="s">
        <v>356</v>
      </c>
      <c r="B188" s="23">
        <v>45954</v>
      </c>
      <c r="C188" s="8" t="s">
        <v>113</v>
      </c>
      <c r="D188" s="8" t="s">
        <v>75</v>
      </c>
      <c r="E188" s="8" t="s">
        <v>107</v>
      </c>
      <c r="F188" s="8" t="s">
        <v>36</v>
      </c>
      <c r="G188" s="8" t="s">
        <v>108</v>
      </c>
      <c r="H188" s="8" t="s">
        <v>62</v>
      </c>
      <c r="I188" s="8" t="s">
        <v>104</v>
      </c>
      <c r="J188" s="8">
        <v>92</v>
      </c>
      <c r="K188" s="8">
        <v>73</v>
      </c>
      <c r="L188" s="8">
        <v>48</v>
      </c>
      <c r="M188" s="24">
        <v>4.3</v>
      </c>
      <c r="N188" s="15">
        <v>61500</v>
      </c>
      <c r="O188" s="15">
        <v>64600</v>
      </c>
      <c r="P188" s="8" t="s">
        <v>64</v>
      </c>
      <c r="Q188" s="8" t="s">
        <v>118</v>
      </c>
    </row>
    <row r="189" spans="1:17" ht="16" x14ac:dyDescent="0.45">
      <c r="A189" s="8" t="s">
        <v>357</v>
      </c>
      <c r="B189" s="23">
        <v>45957</v>
      </c>
      <c r="C189" s="8" t="s">
        <v>170</v>
      </c>
      <c r="D189" s="8" t="s">
        <v>67</v>
      </c>
      <c r="E189" s="8" t="s">
        <v>76</v>
      </c>
      <c r="F189" s="8" t="s">
        <v>40</v>
      </c>
      <c r="G189" s="8" t="s">
        <v>69</v>
      </c>
      <c r="H189" s="8" t="s">
        <v>70</v>
      </c>
      <c r="I189" s="8" t="s">
        <v>85</v>
      </c>
      <c r="J189" s="8">
        <v>62</v>
      </c>
      <c r="K189" s="8">
        <v>53</v>
      </c>
      <c r="L189" s="8">
        <v>33</v>
      </c>
      <c r="M189" s="24">
        <v>4</v>
      </c>
      <c r="N189" s="15">
        <v>30000</v>
      </c>
      <c r="O189" s="15">
        <v>32100</v>
      </c>
      <c r="P189" s="8" t="s">
        <v>64</v>
      </c>
      <c r="Q189" s="8" t="s">
        <v>93</v>
      </c>
    </row>
    <row r="190" spans="1:17" ht="16" x14ac:dyDescent="0.45">
      <c r="A190" s="8" t="s">
        <v>357</v>
      </c>
      <c r="B190" s="23">
        <v>45957</v>
      </c>
      <c r="C190" s="8" t="s">
        <v>170</v>
      </c>
      <c r="D190" s="8" t="s">
        <v>67</v>
      </c>
      <c r="E190" s="8" t="s">
        <v>76</v>
      </c>
      <c r="F190" s="8" t="s">
        <v>40</v>
      </c>
      <c r="G190" s="8" t="s">
        <v>69</v>
      </c>
      <c r="H190" s="8" t="s">
        <v>70</v>
      </c>
      <c r="I190" s="8" t="s">
        <v>85</v>
      </c>
      <c r="J190" s="8">
        <v>62</v>
      </c>
      <c r="K190" s="8">
        <v>53</v>
      </c>
      <c r="L190" s="8">
        <v>33</v>
      </c>
      <c r="M190" s="24">
        <v>4</v>
      </c>
      <c r="N190" s="15">
        <v>30000</v>
      </c>
      <c r="O190" s="15">
        <v>32100</v>
      </c>
      <c r="P190" s="8" t="s">
        <v>64</v>
      </c>
      <c r="Q190" s="8" t="s">
        <v>93</v>
      </c>
    </row>
    <row r="191" spans="1:17" ht="16" x14ac:dyDescent="0.45">
      <c r="A191" s="8" t="s">
        <v>358</v>
      </c>
      <c r="B191" s="23">
        <v>45961</v>
      </c>
      <c r="C191" s="8" t="s">
        <v>113</v>
      </c>
      <c r="D191" s="8" t="s">
        <v>75</v>
      </c>
      <c r="E191" s="8" t="s">
        <v>107</v>
      </c>
      <c r="F191" s="8" t="s">
        <v>36</v>
      </c>
      <c r="G191" s="8" t="s">
        <v>108</v>
      </c>
      <c r="H191" s="8" t="s">
        <v>84</v>
      </c>
      <c r="I191" s="8" t="s">
        <v>71</v>
      </c>
      <c r="J191" s="8">
        <v>32</v>
      </c>
      <c r="K191" s="8">
        <v>25</v>
      </c>
      <c r="L191" s="8">
        <v>16</v>
      </c>
      <c r="M191" s="24">
        <v>4.5999999999999996</v>
      </c>
      <c r="N191" s="15">
        <v>44000</v>
      </c>
      <c r="O191" s="15">
        <v>47100</v>
      </c>
      <c r="P191" s="8" t="s">
        <v>64</v>
      </c>
      <c r="Q191" s="8" t="s">
        <v>127</v>
      </c>
    </row>
    <row r="192" spans="1:17" ht="16" x14ac:dyDescent="0.45">
      <c r="A192" s="8" t="s">
        <v>359</v>
      </c>
      <c r="B192" s="23">
        <v>45963</v>
      </c>
      <c r="C192" s="8" t="s">
        <v>145</v>
      </c>
      <c r="D192" s="8" t="s">
        <v>59</v>
      </c>
      <c r="E192" s="8" t="s">
        <v>68</v>
      </c>
      <c r="F192" s="8" t="s">
        <v>40</v>
      </c>
      <c r="G192" s="8" t="s">
        <v>69</v>
      </c>
      <c r="H192" s="8" t="s">
        <v>77</v>
      </c>
      <c r="I192" s="8" t="s">
        <v>78</v>
      </c>
      <c r="J192" s="8">
        <v>183</v>
      </c>
      <c r="K192" s="8">
        <v>112</v>
      </c>
      <c r="L192" s="8">
        <v>22</v>
      </c>
      <c r="M192" s="24">
        <v>4</v>
      </c>
      <c r="N192" s="15">
        <v>70000</v>
      </c>
      <c r="O192" s="15">
        <v>67300</v>
      </c>
      <c r="P192" s="8" t="s">
        <v>64</v>
      </c>
      <c r="Q192" s="8" t="s">
        <v>204</v>
      </c>
    </row>
    <row r="193" spans="1:17" ht="16" x14ac:dyDescent="0.45">
      <c r="A193" s="8" t="s">
        <v>360</v>
      </c>
      <c r="B193" s="23">
        <v>45964</v>
      </c>
      <c r="C193" s="8" t="s">
        <v>170</v>
      </c>
      <c r="D193" s="8" t="s">
        <v>120</v>
      </c>
      <c r="E193" s="8" t="s">
        <v>95</v>
      </c>
      <c r="F193" s="8" t="s">
        <v>40</v>
      </c>
      <c r="G193" s="8" t="s">
        <v>69</v>
      </c>
      <c r="H193" s="8" t="s">
        <v>62</v>
      </c>
      <c r="I193" s="8" t="s">
        <v>71</v>
      </c>
      <c r="J193" s="8">
        <v>56</v>
      </c>
      <c r="K193" s="8">
        <v>45</v>
      </c>
      <c r="L193" s="8">
        <v>27</v>
      </c>
      <c r="M193" s="24">
        <v>4.0999999999999996</v>
      </c>
      <c r="N193" s="15">
        <v>17000</v>
      </c>
      <c r="O193" s="15">
        <v>14600</v>
      </c>
      <c r="P193" s="8" t="s">
        <v>64</v>
      </c>
      <c r="Q193" s="8" t="s">
        <v>127</v>
      </c>
    </row>
    <row r="194" spans="1:17" ht="16" x14ac:dyDescent="0.45">
      <c r="A194" s="8" t="s">
        <v>361</v>
      </c>
      <c r="B194" s="23">
        <v>45966</v>
      </c>
      <c r="C194" s="8" t="s">
        <v>58</v>
      </c>
      <c r="D194" s="8" t="s">
        <v>67</v>
      </c>
      <c r="E194" s="8" t="s">
        <v>262</v>
      </c>
      <c r="F194" s="8" t="s">
        <v>38</v>
      </c>
      <c r="G194" s="8" t="s">
        <v>101</v>
      </c>
      <c r="H194" s="8" t="s">
        <v>84</v>
      </c>
      <c r="I194" s="8" t="s">
        <v>85</v>
      </c>
      <c r="J194" s="8">
        <v>174</v>
      </c>
      <c r="K194" s="8">
        <v>169</v>
      </c>
      <c r="L194" s="8">
        <v>114</v>
      </c>
      <c r="M194" s="24">
        <v>4</v>
      </c>
      <c r="N194" s="15">
        <v>47500</v>
      </c>
      <c r="O194" s="15">
        <v>46700</v>
      </c>
      <c r="P194" s="8" t="s">
        <v>64</v>
      </c>
      <c r="Q194" s="8" t="s">
        <v>258</v>
      </c>
    </row>
    <row r="195" spans="1:17" ht="16" x14ac:dyDescent="0.45">
      <c r="A195" s="8" t="s">
        <v>362</v>
      </c>
      <c r="B195" s="23">
        <v>45967</v>
      </c>
      <c r="C195" s="8" t="s">
        <v>74</v>
      </c>
      <c r="D195" s="8" t="s">
        <v>75</v>
      </c>
      <c r="E195" s="8" t="s">
        <v>247</v>
      </c>
      <c r="F195" s="8" t="s">
        <v>36</v>
      </c>
      <c r="G195" s="8" t="s">
        <v>108</v>
      </c>
      <c r="H195" s="8" t="s">
        <v>77</v>
      </c>
      <c r="I195" s="8" t="s">
        <v>78</v>
      </c>
      <c r="J195" s="8">
        <v>219</v>
      </c>
      <c r="K195" s="8">
        <v>124</v>
      </c>
      <c r="L195" s="8">
        <v>72</v>
      </c>
      <c r="M195" s="24">
        <v>4.0999999999999996</v>
      </c>
      <c r="N195" s="15">
        <v>56000</v>
      </c>
      <c r="O195" s="15">
        <v>73900</v>
      </c>
      <c r="P195" s="8" t="s">
        <v>64</v>
      </c>
      <c r="Q195" s="8" t="s">
        <v>111</v>
      </c>
    </row>
    <row r="196" spans="1:17" ht="16" x14ac:dyDescent="0.45">
      <c r="A196" s="8" t="s">
        <v>363</v>
      </c>
      <c r="B196" s="23">
        <v>45967</v>
      </c>
      <c r="C196" s="8" t="s">
        <v>74</v>
      </c>
      <c r="D196" s="8" t="s">
        <v>75</v>
      </c>
      <c r="E196" s="8" t="s">
        <v>88</v>
      </c>
      <c r="F196" s="8" t="s">
        <v>37</v>
      </c>
      <c r="G196" s="8" t="s">
        <v>89</v>
      </c>
      <c r="H196" s="8" t="s">
        <v>62</v>
      </c>
      <c r="I196" s="8" t="s">
        <v>63</v>
      </c>
      <c r="J196" s="8">
        <v>95</v>
      </c>
      <c r="K196" s="8">
        <v>67</v>
      </c>
      <c r="L196" s="8">
        <v>74</v>
      </c>
      <c r="M196" s="24">
        <v>4.2</v>
      </c>
      <c r="N196" s="15">
        <v>50500</v>
      </c>
      <c r="O196" s="15">
        <v>38300</v>
      </c>
      <c r="P196" s="8" t="s">
        <v>64</v>
      </c>
      <c r="Q196" s="8" t="s">
        <v>65</v>
      </c>
    </row>
    <row r="197" spans="1:17" ht="16" x14ac:dyDescent="0.45">
      <c r="A197" s="8" t="s">
        <v>364</v>
      </c>
      <c r="B197" s="23">
        <v>45968</v>
      </c>
      <c r="C197" s="8" t="s">
        <v>113</v>
      </c>
      <c r="D197" s="8" t="s">
        <v>120</v>
      </c>
      <c r="E197" s="8" t="s">
        <v>212</v>
      </c>
      <c r="F197" s="8" t="s">
        <v>41</v>
      </c>
      <c r="G197" s="8" t="s">
        <v>61</v>
      </c>
      <c r="H197" s="8" t="s">
        <v>183</v>
      </c>
      <c r="I197" s="8" t="s">
        <v>71</v>
      </c>
      <c r="J197" s="8">
        <v>39</v>
      </c>
      <c r="K197" s="8">
        <v>31</v>
      </c>
      <c r="L197" s="8">
        <v>55</v>
      </c>
      <c r="M197" s="24">
        <v>3.9</v>
      </c>
      <c r="N197" s="15">
        <v>19000</v>
      </c>
      <c r="O197" s="15">
        <v>18700</v>
      </c>
      <c r="P197" s="8" t="s">
        <v>64</v>
      </c>
      <c r="Q197" s="8" t="s">
        <v>365</v>
      </c>
    </row>
    <row r="198" spans="1:17" ht="16" x14ac:dyDescent="0.45">
      <c r="A198" s="8" t="s">
        <v>366</v>
      </c>
      <c r="B198" s="23">
        <v>45970</v>
      </c>
      <c r="C198" s="8" t="s">
        <v>145</v>
      </c>
      <c r="D198" s="8" t="s">
        <v>59</v>
      </c>
      <c r="E198" s="8" t="s">
        <v>139</v>
      </c>
      <c r="F198" s="8" t="s">
        <v>39</v>
      </c>
      <c r="G198" s="8" t="s">
        <v>83</v>
      </c>
      <c r="H198" s="8" t="s">
        <v>62</v>
      </c>
      <c r="I198" s="8" t="s">
        <v>63</v>
      </c>
      <c r="J198" s="8">
        <v>74</v>
      </c>
      <c r="K198" s="8">
        <v>0</v>
      </c>
      <c r="L198" s="8">
        <v>0</v>
      </c>
      <c r="M198" s="24"/>
      <c r="N198" s="15">
        <v>46000</v>
      </c>
      <c r="O198" s="15">
        <v>4600</v>
      </c>
      <c r="P198" s="8" t="s">
        <v>96</v>
      </c>
      <c r="Q198" s="8" t="s">
        <v>118</v>
      </c>
    </row>
    <row r="199" spans="1:17" ht="16" x14ac:dyDescent="0.45">
      <c r="A199" s="8" t="s">
        <v>367</v>
      </c>
      <c r="B199" s="23">
        <v>45971</v>
      </c>
      <c r="C199" s="8" t="s">
        <v>170</v>
      </c>
      <c r="D199" s="8" t="s">
        <v>67</v>
      </c>
      <c r="E199" s="8" t="s">
        <v>212</v>
      </c>
      <c r="F199" s="8" t="s">
        <v>41</v>
      </c>
      <c r="G199" s="8" t="s">
        <v>61</v>
      </c>
      <c r="H199" s="8" t="s">
        <v>62</v>
      </c>
      <c r="I199" s="8" t="s">
        <v>104</v>
      </c>
      <c r="J199" s="8">
        <v>141</v>
      </c>
      <c r="K199" s="8">
        <v>126</v>
      </c>
      <c r="L199" s="8">
        <v>204</v>
      </c>
      <c r="M199" s="24">
        <v>3.5</v>
      </c>
      <c r="N199" s="15">
        <v>65000</v>
      </c>
      <c r="O199" s="15">
        <v>52200</v>
      </c>
      <c r="P199" s="8" t="s">
        <v>64</v>
      </c>
      <c r="Q199" s="8" t="s">
        <v>65</v>
      </c>
    </row>
    <row r="200" spans="1:17" ht="16" x14ac:dyDescent="0.45">
      <c r="A200" s="8" t="s">
        <v>368</v>
      </c>
      <c r="B200" s="23">
        <v>45972</v>
      </c>
      <c r="C200" s="8" t="s">
        <v>99</v>
      </c>
      <c r="D200" s="8" t="s">
        <v>75</v>
      </c>
      <c r="E200" s="8" t="s">
        <v>126</v>
      </c>
      <c r="F200" s="8" t="s">
        <v>37</v>
      </c>
      <c r="G200" s="8" t="s">
        <v>89</v>
      </c>
      <c r="H200" s="8" t="s">
        <v>146</v>
      </c>
      <c r="I200" s="8" t="s">
        <v>71</v>
      </c>
      <c r="J200" s="8">
        <v>124</v>
      </c>
      <c r="K200" s="8">
        <v>136</v>
      </c>
      <c r="L200" s="8">
        <v>219</v>
      </c>
      <c r="M200" s="24">
        <v>4.0999999999999996</v>
      </c>
      <c r="N200" s="15">
        <v>16500</v>
      </c>
      <c r="O200" s="15">
        <v>16600</v>
      </c>
      <c r="P200" s="8" t="s">
        <v>64</v>
      </c>
      <c r="Q200" s="8" t="s">
        <v>86</v>
      </c>
    </row>
    <row r="201" spans="1:17" ht="16" x14ac:dyDescent="0.45">
      <c r="A201" s="8" t="s">
        <v>369</v>
      </c>
      <c r="B201" s="23">
        <v>45972</v>
      </c>
      <c r="C201" s="8" t="s">
        <v>99</v>
      </c>
      <c r="D201" s="8" t="s">
        <v>75</v>
      </c>
      <c r="E201" s="8" t="s">
        <v>163</v>
      </c>
      <c r="F201" s="8" t="s">
        <v>36</v>
      </c>
      <c r="G201" s="8" t="s">
        <v>108</v>
      </c>
      <c r="H201" s="8" t="s">
        <v>62</v>
      </c>
      <c r="I201" s="8" t="s">
        <v>104</v>
      </c>
      <c r="J201" s="8">
        <v>52</v>
      </c>
      <c r="K201" s="8">
        <v>37</v>
      </c>
      <c r="L201" s="8">
        <v>23</v>
      </c>
      <c r="M201" s="24">
        <v>4.7</v>
      </c>
      <c r="N201" s="15">
        <v>73500</v>
      </c>
      <c r="O201" s="15">
        <v>84800</v>
      </c>
      <c r="P201" s="8" t="s">
        <v>64</v>
      </c>
      <c r="Q201" s="8" t="s">
        <v>153</v>
      </c>
    </row>
    <row r="202" spans="1:17" ht="16" x14ac:dyDescent="0.45">
      <c r="A202" s="8" t="s">
        <v>370</v>
      </c>
      <c r="B202" s="23">
        <v>45975</v>
      </c>
      <c r="C202" s="8" t="s">
        <v>113</v>
      </c>
      <c r="D202" s="8" t="s">
        <v>67</v>
      </c>
      <c r="E202" s="8" t="s">
        <v>60</v>
      </c>
      <c r="F202" s="8" t="s">
        <v>41</v>
      </c>
      <c r="G202" s="8" t="s">
        <v>61</v>
      </c>
      <c r="H202" s="8" t="s">
        <v>77</v>
      </c>
      <c r="I202" s="8" t="s">
        <v>78</v>
      </c>
      <c r="J202" s="8">
        <v>156</v>
      </c>
      <c r="K202" s="8">
        <v>92</v>
      </c>
      <c r="L202" s="8">
        <v>65</v>
      </c>
      <c r="M202" s="24">
        <v>3.5</v>
      </c>
      <c r="N202" s="15">
        <v>13500</v>
      </c>
      <c r="O202" s="15">
        <v>12200</v>
      </c>
      <c r="P202" s="8" t="s">
        <v>64</v>
      </c>
      <c r="Q202" s="8" t="s">
        <v>127</v>
      </c>
    </row>
    <row r="203" spans="1:17" ht="16" x14ac:dyDescent="0.45">
      <c r="A203" s="8" t="s">
        <v>371</v>
      </c>
      <c r="B203" s="23">
        <v>45975</v>
      </c>
      <c r="C203" s="8" t="s">
        <v>113</v>
      </c>
      <c r="D203" s="8" t="s">
        <v>75</v>
      </c>
      <c r="E203" s="8" t="s">
        <v>172</v>
      </c>
      <c r="F203" s="8" t="s">
        <v>37</v>
      </c>
      <c r="G203" s="8" t="s">
        <v>89</v>
      </c>
      <c r="H203" s="8" t="s">
        <v>77</v>
      </c>
      <c r="I203" s="8" t="s">
        <v>78</v>
      </c>
      <c r="J203" s="8">
        <v>313</v>
      </c>
      <c r="K203" s="8">
        <v>172</v>
      </c>
      <c r="L203" s="8">
        <v>192</v>
      </c>
      <c r="M203" s="24">
        <v>3.7</v>
      </c>
      <c r="N203" s="15">
        <v>49000</v>
      </c>
      <c r="O203" s="15">
        <v>44000</v>
      </c>
      <c r="P203" s="8" t="s">
        <v>64</v>
      </c>
      <c r="Q203" s="8" t="s">
        <v>127</v>
      </c>
    </row>
    <row r="204" spans="1:17" ht="16" x14ac:dyDescent="0.45">
      <c r="A204" s="8" t="s">
        <v>372</v>
      </c>
      <c r="B204" s="23">
        <v>45977</v>
      </c>
      <c r="C204" s="8" t="s">
        <v>145</v>
      </c>
      <c r="D204" s="8" t="s">
        <v>59</v>
      </c>
      <c r="E204" s="8" t="s">
        <v>212</v>
      </c>
      <c r="F204" s="8" t="s">
        <v>41</v>
      </c>
      <c r="G204" s="8" t="s">
        <v>61</v>
      </c>
      <c r="H204" s="8" t="s">
        <v>70</v>
      </c>
      <c r="I204" s="8" t="s">
        <v>63</v>
      </c>
      <c r="J204" s="8">
        <v>110</v>
      </c>
      <c r="K204" s="8">
        <v>74</v>
      </c>
      <c r="L204" s="8">
        <v>150</v>
      </c>
      <c r="M204" s="24">
        <v>4</v>
      </c>
      <c r="N204" s="15">
        <v>26000</v>
      </c>
      <c r="O204" s="15">
        <v>25500</v>
      </c>
      <c r="P204" s="8" t="s">
        <v>64</v>
      </c>
      <c r="Q204" s="8" t="s">
        <v>65</v>
      </c>
    </row>
    <row r="205" spans="1:17" ht="16" x14ac:dyDescent="0.45">
      <c r="A205" s="8" t="s">
        <v>373</v>
      </c>
      <c r="B205" s="23">
        <v>45980</v>
      </c>
      <c r="C205" s="8" t="s">
        <v>58</v>
      </c>
      <c r="D205" s="8" t="s">
        <v>67</v>
      </c>
      <c r="E205" s="8" t="s">
        <v>305</v>
      </c>
      <c r="F205" s="8" t="s">
        <v>41</v>
      </c>
      <c r="G205" s="8" t="s">
        <v>61</v>
      </c>
      <c r="H205" s="8" t="s">
        <v>77</v>
      </c>
      <c r="I205" s="8" t="s">
        <v>78</v>
      </c>
      <c r="J205" s="8">
        <v>116</v>
      </c>
      <c r="K205" s="8">
        <v>67</v>
      </c>
      <c r="L205" s="8">
        <v>65</v>
      </c>
      <c r="M205" s="24">
        <v>3.9</v>
      </c>
      <c r="N205" s="15">
        <v>79500</v>
      </c>
      <c r="O205" s="15">
        <v>81000</v>
      </c>
      <c r="P205" s="8" t="s">
        <v>64</v>
      </c>
      <c r="Q205" s="8" t="s">
        <v>93</v>
      </c>
    </row>
    <row r="206" spans="1:17" ht="16" x14ac:dyDescent="0.45">
      <c r="A206" s="8" t="s">
        <v>374</v>
      </c>
      <c r="B206" s="23">
        <v>45983</v>
      </c>
      <c r="C206" s="8" t="s">
        <v>81</v>
      </c>
      <c r="D206" s="8" t="s">
        <v>59</v>
      </c>
      <c r="E206" s="8" t="s">
        <v>82</v>
      </c>
      <c r="F206" s="8" t="s">
        <v>39</v>
      </c>
      <c r="G206" s="8" t="s">
        <v>83</v>
      </c>
      <c r="H206" s="8" t="s">
        <v>167</v>
      </c>
      <c r="I206" s="8" t="s">
        <v>63</v>
      </c>
      <c r="J206" s="8">
        <v>170</v>
      </c>
      <c r="K206" s="8">
        <v>113</v>
      </c>
      <c r="L206" s="8">
        <v>98</v>
      </c>
      <c r="M206" s="24">
        <v>4.2</v>
      </c>
      <c r="N206" s="15">
        <v>10500</v>
      </c>
      <c r="O206" s="15">
        <v>9400</v>
      </c>
      <c r="P206" s="8" t="s">
        <v>64</v>
      </c>
      <c r="Q206" s="8" t="s">
        <v>93</v>
      </c>
    </row>
    <row r="207" spans="1:17" ht="16" x14ac:dyDescent="0.45">
      <c r="A207" s="8" t="s">
        <v>375</v>
      </c>
      <c r="B207" s="23">
        <v>45984</v>
      </c>
      <c r="C207" s="8" t="s">
        <v>145</v>
      </c>
      <c r="D207" s="8" t="s">
        <v>59</v>
      </c>
      <c r="E207" s="8" t="s">
        <v>88</v>
      </c>
      <c r="F207" s="8" t="s">
        <v>37</v>
      </c>
      <c r="G207" s="8" t="s">
        <v>89</v>
      </c>
      <c r="H207" s="8" t="s">
        <v>62</v>
      </c>
      <c r="I207" s="8" t="s">
        <v>117</v>
      </c>
      <c r="J207" s="8">
        <v>127</v>
      </c>
      <c r="K207" s="8">
        <v>87</v>
      </c>
      <c r="L207" s="8">
        <v>112</v>
      </c>
      <c r="M207" s="24">
        <v>4.3</v>
      </c>
      <c r="N207" s="15">
        <v>17000</v>
      </c>
      <c r="O207" s="15">
        <v>14100</v>
      </c>
      <c r="P207" s="8" t="s">
        <v>64</v>
      </c>
      <c r="Q207" s="8" t="s">
        <v>376</v>
      </c>
    </row>
    <row r="208" spans="1:17" ht="16" x14ac:dyDescent="0.45">
      <c r="A208" s="8" t="s">
        <v>377</v>
      </c>
      <c r="B208" s="23">
        <v>45986</v>
      </c>
      <c r="C208" s="8" t="s">
        <v>99</v>
      </c>
      <c r="D208" s="8" t="s">
        <v>67</v>
      </c>
      <c r="E208" s="8" t="s">
        <v>88</v>
      </c>
      <c r="F208" s="8" t="s">
        <v>37</v>
      </c>
      <c r="G208" s="8" t="s">
        <v>89</v>
      </c>
      <c r="H208" s="8" t="s">
        <v>378</v>
      </c>
      <c r="I208" s="8" t="s">
        <v>63</v>
      </c>
      <c r="J208" s="8">
        <v>120</v>
      </c>
      <c r="K208" s="8">
        <v>113</v>
      </c>
      <c r="L208" s="8">
        <v>136</v>
      </c>
      <c r="M208" s="24">
        <v>4</v>
      </c>
      <c r="N208" s="15">
        <v>51500</v>
      </c>
      <c r="O208" s="15">
        <v>51200</v>
      </c>
      <c r="P208" s="8" t="s">
        <v>64</v>
      </c>
      <c r="Q208" s="8" t="s">
        <v>137</v>
      </c>
    </row>
    <row r="209" spans="1:17" ht="16" x14ac:dyDescent="0.45">
      <c r="A209" s="8" t="s">
        <v>379</v>
      </c>
      <c r="B209" s="23">
        <v>45988</v>
      </c>
      <c r="C209" s="8" t="s">
        <v>74</v>
      </c>
      <c r="D209" s="8" t="s">
        <v>59</v>
      </c>
      <c r="E209" s="8" t="s">
        <v>262</v>
      </c>
      <c r="F209" s="8" t="s">
        <v>38</v>
      </c>
      <c r="G209" s="8" t="s">
        <v>101</v>
      </c>
      <c r="H209" s="8" t="s">
        <v>70</v>
      </c>
      <c r="I209" s="8" t="s">
        <v>85</v>
      </c>
      <c r="J209" s="8">
        <v>73</v>
      </c>
      <c r="K209" s="8">
        <v>37</v>
      </c>
      <c r="L209" s="8">
        <v>30</v>
      </c>
      <c r="M209" s="24">
        <v>4.3</v>
      </c>
      <c r="N209" s="15">
        <v>25000</v>
      </c>
      <c r="O209" s="15">
        <v>22300</v>
      </c>
      <c r="P209" s="8" t="s">
        <v>64</v>
      </c>
      <c r="Q209" s="8" t="s">
        <v>72</v>
      </c>
    </row>
    <row r="210" spans="1:17" ht="16" x14ac:dyDescent="0.45">
      <c r="A210" s="8" t="s">
        <v>380</v>
      </c>
      <c r="B210" s="23">
        <v>45989</v>
      </c>
      <c r="C210" s="8" t="s">
        <v>113</v>
      </c>
      <c r="D210" s="8" t="s">
        <v>67</v>
      </c>
      <c r="E210" s="8" t="s">
        <v>150</v>
      </c>
      <c r="F210" s="8" t="s">
        <v>36</v>
      </c>
      <c r="G210" s="8" t="s">
        <v>108</v>
      </c>
      <c r="H210" s="8" t="s">
        <v>183</v>
      </c>
      <c r="I210" s="8" t="s">
        <v>71</v>
      </c>
      <c r="J210" s="8">
        <v>48</v>
      </c>
      <c r="K210" s="8">
        <v>47</v>
      </c>
      <c r="L210" s="8">
        <v>13</v>
      </c>
      <c r="M210" s="24">
        <v>4.7</v>
      </c>
      <c r="N210" s="15">
        <v>70500</v>
      </c>
      <c r="O210" s="15">
        <v>81500</v>
      </c>
      <c r="P210" s="8" t="s">
        <v>64</v>
      </c>
      <c r="Q210" s="8" t="s">
        <v>234</v>
      </c>
    </row>
    <row r="211" spans="1:17" ht="16" x14ac:dyDescent="0.45">
      <c r="A211" s="8" t="s">
        <v>381</v>
      </c>
      <c r="B211" s="23">
        <v>45993</v>
      </c>
      <c r="C211" s="8" t="s">
        <v>99</v>
      </c>
      <c r="D211" s="8" t="s">
        <v>75</v>
      </c>
      <c r="E211" s="8" t="s">
        <v>262</v>
      </c>
      <c r="F211" s="8" t="s">
        <v>38</v>
      </c>
      <c r="G211" s="8" t="s">
        <v>101</v>
      </c>
      <c r="H211" s="8" t="s">
        <v>62</v>
      </c>
      <c r="I211" s="8" t="s">
        <v>104</v>
      </c>
      <c r="J211" s="8">
        <v>149</v>
      </c>
      <c r="K211" s="8">
        <v>103</v>
      </c>
      <c r="L211" s="8">
        <v>81</v>
      </c>
      <c r="M211" s="24">
        <v>4.2</v>
      </c>
      <c r="N211" s="15">
        <v>75000</v>
      </c>
      <c r="O211" s="15">
        <v>76200</v>
      </c>
      <c r="P211" s="8" t="s">
        <v>64</v>
      </c>
      <c r="Q211" s="8" t="s">
        <v>327</v>
      </c>
    </row>
    <row r="212" spans="1:17" ht="16" x14ac:dyDescent="0.45">
      <c r="A212" s="8" t="s">
        <v>382</v>
      </c>
      <c r="B212" s="23">
        <v>45994</v>
      </c>
      <c r="C212" s="8" t="s">
        <v>58</v>
      </c>
      <c r="D212" s="8" t="s">
        <v>67</v>
      </c>
      <c r="E212" s="8" t="s">
        <v>100</v>
      </c>
      <c r="F212" s="8" t="s">
        <v>38</v>
      </c>
      <c r="G212" s="8" t="s">
        <v>101</v>
      </c>
      <c r="H212" s="8" t="s">
        <v>146</v>
      </c>
      <c r="I212" s="8" t="s">
        <v>85</v>
      </c>
      <c r="J212" s="8">
        <v>60</v>
      </c>
      <c r="K212" s="8">
        <v>50</v>
      </c>
      <c r="L212" s="8">
        <v>40</v>
      </c>
      <c r="M212" s="24">
        <v>4.0999999999999996</v>
      </c>
      <c r="N212" s="15">
        <v>9500</v>
      </c>
      <c r="O212" s="15">
        <v>7500</v>
      </c>
      <c r="P212" s="8" t="s">
        <v>64</v>
      </c>
      <c r="Q212" s="8" t="s">
        <v>383</v>
      </c>
    </row>
    <row r="213" spans="1:17" ht="16" x14ac:dyDescent="0.45">
      <c r="A213" s="8" t="s">
        <v>384</v>
      </c>
      <c r="B213" s="23">
        <v>45996</v>
      </c>
      <c r="C213" s="8" t="s">
        <v>113</v>
      </c>
      <c r="D213" s="8" t="s">
        <v>75</v>
      </c>
      <c r="E213" s="8" t="s">
        <v>247</v>
      </c>
      <c r="F213" s="8" t="s">
        <v>36</v>
      </c>
      <c r="G213" s="8" t="s">
        <v>108</v>
      </c>
      <c r="H213" s="8" t="s">
        <v>77</v>
      </c>
      <c r="I213" s="8" t="s">
        <v>78</v>
      </c>
      <c r="J213" s="8">
        <v>213</v>
      </c>
      <c r="K213" s="8">
        <v>103</v>
      </c>
      <c r="L213" s="8">
        <v>52</v>
      </c>
      <c r="M213" s="24">
        <v>4.3</v>
      </c>
      <c r="N213" s="15">
        <v>43000</v>
      </c>
      <c r="O213" s="15">
        <v>52300</v>
      </c>
      <c r="P213" s="8" t="s">
        <v>64</v>
      </c>
      <c r="Q213" s="8" t="s">
        <v>142</v>
      </c>
    </row>
    <row r="214" spans="1:17" ht="16" x14ac:dyDescent="0.45">
      <c r="A214" s="8" t="s">
        <v>385</v>
      </c>
      <c r="B214" s="23">
        <v>46001</v>
      </c>
      <c r="C214" s="8" t="s">
        <v>58</v>
      </c>
      <c r="D214" s="8" t="s">
        <v>75</v>
      </c>
      <c r="E214" s="8" t="s">
        <v>100</v>
      </c>
      <c r="F214" s="8" t="s">
        <v>38</v>
      </c>
      <c r="G214" s="8" t="s">
        <v>101</v>
      </c>
      <c r="H214" s="8" t="s">
        <v>77</v>
      </c>
      <c r="I214" s="8" t="s">
        <v>78</v>
      </c>
      <c r="J214" s="8">
        <v>98</v>
      </c>
      <c r="K214" s="8">
        <v>52</v>
      </c>
      <c r="L214" s="8">
        <v>36</v>
      </c>
      <c r="M214" s="24">
        <v>3.9</v>
      </c>
      <c r="N214" s="15">
        <v>18000</v>
      </c>
      <c r="O214" s="15">
        <v>17100</v>
      </c>
      <c r="P214" s="8" t="s">
        <v>64</v>
      </c>
      <c r="Q214" s="8" t="s">
        <v>198</v>
      </c>
    </row>
    <row r="215" spans="1:17" ht="16" x14ac:dyDescent="0.45">
      <c r="A215" s="8" t="s">
        <v>386</v>
      </c>
      <c r="B215" s="23">
        <v>46002</v>
      </c>
      <c r="C215" s="8" t="s">
        <v>74</v>
      </c>
      <c r="D215" s="8" t="s">
        <v>59</v>
      </c>
      <c r="E215" s="8" t="s">
        <v>172</v>
      </c>
      <c r="F215" s="8" t="s">
        <v>37</v>
      </c>
      <c r="G215" s="8" t="s">
        <v>89</v>
      </c>
      <c r="H215" s="8" t="s">
        <v>62</v>
      </c>
      <c r="I215" s="8" t="s">
        <v>117</v>
      </c>
      <c r="J215" s="8">
        <v>163</v>
      </c>
      <c r="K215" s="8">
        <v>0</v>
      </c>
      <c r="L215" s="8">
        <v>0</v>
      </c>
      <c r="M215" s="24"/>
      <c r="N215" s="15">
        <v>55500</v>
      </c>
      <c r="O215" s="15">
        <v>5550</v>
      </c>
      <c r="P215" s="8" t="s">
        <v>96</v>
      </c>
      <c r="Q215" s="8" t="s">
        <v>387</v>
      </c>
    </row>
    <row r="216" spans="1:17" ht="16" x14ac:dyDescent="0.45">
      <c r="A216" s="8" t="s">
        <v>388</v>
      </c>
      <c r="B216" s="23">
        <v>46004</v>
      </c>
      <c r="C216" s="8" t="s">
        <v>81</v>
      </c>
      <c r="D216" s="8" t="s">
        <v>59</v>
      </c>
      <c r="E216" s="8" t="s">
        <v>88</v>
      </c>
      <c r="F216" s="8" t="s">
        <v>37</v>
      </c>
      <c r="G216" s="8" t="s">
        <v>89</v>
      </c>
      <c r="H216" s="8" t="s">
        <v>84</v>
      </c>
      <c r="I216" s="8" t="s">
        <v>63</v>
      </c>
      <c r="J216" s="8">
        <v>148</v>
      </c>
      <c r="K216" s="8">
        <v>103</v>
      </c>
      <c r="L216" s="8">
        <v>165</v>
      </c>
      <c r="M216" s="24">
        <v>3.9</v>
      </c>
      <c r="N216" s="15">
        <v>76500</v>
      </c>
      <c r="O216" s="15">
        <v>68900</v>
      </c>
      <c r="P216" s="8" t="s">
        <v>64</v>
      </c>
      <c r="Q216" s="8" t="s">
        <v>365</v>
      </c>
    </row>
    <row r="217" spans="1:17" ht="16" x14ac:dyDescent="0.45">
      <c r="A217" s="8" t="s">
        <v>389</v>
      </c>
      <c r="B217" s="23">
        <v>46005</v>
      </c>
      <c r="C217" s="8" t="s">
        <v>145</v>
      </c>
      <c r="D217" s="8" t="s">
        <v>59</v>
      </c>
      <c r="E217" s="8" t="s">
        <v>103</v>
      </c>
      <c r="F217" s="8" t="s">
        <v>37</v>
      </c>
      <c r="G217" s="8" t="s">
        <v>89</v>
      </c>
      <c r="H217" s="8" t="s">
        <v>62</v>
      </c>
      <c r="I217" s="8" t="s">
        <v>104</v>
      </c>
      <c r="J217" s="8">
        <v>77</v>
      </c>
      <c r="K217" s="8">
        <v>53</v>
      </c>
      <c r="L217" s="8">
        <v>42</v>
      </c>
      <c r="M217" s="24">
        <v>3.9</v>
      </c>
      <c r="N217" s="15">
        <v>83000</v>
      </c>
      <c r="O217" s="15">
        <v>81900</v>
      </c>
      <c r="P217" s="8" t="s">
        <v>64</v>
      </c>
      <c r="Q217" s="8" t="s">
        <v>390</v>
      </c>
    </row>
    <row r="218" spans="1:17" ht="16" x14ac:dyDescent="0.45">
      <c r="A218" s="8" t="s">
        <v>391</v>
      </c>
      <c r="B218" s="23">
        <v>46006</v>
      </c>
      <c r="C218" s="8" t="s">
        <v>170</v>
      </c>
      <c r="D218" s="8" t="s">
        <v>67</v>
      </c>
      <c r="E218" s="8" t="s">
        <v>121</v>
      </c>
      <c r="F218" s="8" t="s">
        <v>38</v>
      </c>
      <c r="G218" s="8" t="s">
        <v>101</v>
      </c>
      <c r="H218" s="8" t="s">
        <v>77</v>
      </c>
      <c r="I218" s="8" t="s">
        <v>78</v>
      </c>
      <c r="J218" s="8">
        <v>142</v>
      </c>
      <c r="K218" s="8">
        <v>61</v>
      </c>
      <c r="L218" s="8">
        <v>36</v>
      </c>
      <c r="M218" s="24">
        <v>3.6</v>
      </c>
      <c r="N218" s="15">
        <v>57000</v>
      </c>
      <c r="O218" s="15">
        <v>52100</v>
      </c>
      <c r="P218" s="8" t="s">
        <v>64</v>
      </c>
      <c r="Q218" s="8" t="s">
        <v>198</v>
      </c>
    </row>
    <row r="219" spans="1:17" ht="16" x14ac:dyDescent="0.45">
      <c r="A219" s="8" t="s">
        <v>392</v>
      </c>
      <c r="B219" s="23">
        <v>46006</v>
      </c>
      <c r="C219" s="8" t="s">
        <v>170</v>
      </c>
      <c r="D219" s="8" t="s">
        <v>67</v>
      </c>
      <c r="E219" s="8" t="s">
        <v>110</v>
      </c>
      <c r="F219" s="8" t="s">
        <v>36</v>
      </c>
      <c r="G219" s="8" t="s">
        <v>108</v>
      </c>
      <c r="H219" s="8" t="s">
        <v>183</v>
      </c>
      <c r="I219" s="8" t="s">
        <v>71</v>
      </c>
      <c r="J219" s="8">
        <v>138</v>
      </c>
      <c r="K219" s="8">
        <v>129</v>
      </c>
      <c r="L219" s="8">
        <v>46</v>
      </c>
      <c r="M219" s="24">
        <v>4.9000000000000004</v>
      </c>
      <c r="N219" s="15">
        <v>55500</v>
      </c>
      <c r="O219" s="15">
        <v>72800</v>
      </c>
      <c r="P219" s="8" t="s">
        <v>64</v>
      </c>
      <c r="Q219" s="8" t="s">
        <v>118</v>
      </c>
    </row>
    <row r="220" spans="1:17" ht="16" x14ac:dyDescent="0.45">
      <c r="A220" s="8" t="s">
        <v>393</v>
      </c>
      <c r="B220" s="23">
        <v>46010</v>
      </c>
      <c r="C220" s="8" t="s">
        <v>113</v>
      </c>
      <c r="D220" s="8" t="s">
        <v>120</v>
      </c>
      <c r="E220" s="8" t="s">
        <v>177</v>
      </c>
      <c r="F220" s="8" t="s">
        <v>39</v>
      </c>
      <c r="G220" s="8" t="s">
        <v>83</v>
      </c>
      <c r="H220" s="8" t="s">
        <v>84</v>
      </c>
      <c r="I220" s="8" t="s">
        <v>63</v>
      </c>
      <c r="J220" s="8">
        <v>156</v>
      </c>
      <c r="K220" s="8">
        <v>136</v>
      </c>
      <c r="L220" s="8">
        <v>63</v>
      </c>
      <c r="M220" s="24"/>
      <c r="N220" s="15">
        <v>30500</v>
      </c>
      <c r="O220" s="15">
        <v>26100</v>
      </c>
      <c r="P220" s="8" t="s">
        <v>64</v>
      </c>
      <c r="Q220" s="8" t="s">
        <v>118</v>
      </c>
    </row>
    <row r="221" spans="1:17" ht="16" x14ac:dyDescent="0.45">
      <c r="A221" s="8" t="s">
        <v>394</v>
      </c>
      <c r="B221" s="23">
        <v>46010</v>
      </c>
      <c r="C221" s="8" t="s">
        <v>113</v>
      </c>
      <c r="D221" s="8" t="s">
        <v>120</v>
      </c>
      <c r="E221" s="8" t="s">
        <v>82</v>
      </c>
      <c r="F221" s="8" t="s">
        <v>39</v>
      </c>
      <c r="G221" s="8" t="s">
        <v>83</v>
      </c>
      <c r="H221" s="8" t="s">
        <v>62</v>
      </c>
      <c r="I221" s="8" t="s">
        <v>85</v>
      </c>
      <c r="J221" s="8">
        <v>143</v>
      </c>
      <c r="K221" s="8">
        <v>122</v>
      </c>
      <c r="L221" s="8">
        <v>77</v>
      </c>
      <c r="M221" s="24">
        <v>4.0999999999999996</v>
      </c>
      <c r="N221" s="15">
        <v>60000</v>
      </c>
      <c r="O221" s="15">
        <v>53400</v>
      </c>
      <c r="P221" s="8" t="s">
        <v>64</v>
      </c>
      <c r="Q221" s="8" t="s">
        <v>118</v>
      </c>
    </row>
    <row r="222" spans="1:17" ht="16" x14ac:dyDescent="0.45">
      <c r="A222" s="8" t="s">
        <v>395</v>
      </c>
      <c r="B222" s="23">
        <v>46012</v>
      </c>
      <c r="C222" s="8" t="s">
        <v>145</v>
      </c>
      <c r="D222" s="8" t="s">
        <v>59</v>
      </c>
      <c r="E222" s="8" t="s">
        <v>92</v>
      </c>
      <c r="F222" s="8" t="s">
        <v>41</v>
      </c>
      <c r="G222" s="8" t="s">
        <v>61</v>
      </c>
      <c r="H222" s="8" t="s">
        <v>84</v>
      </c>
      <c r="I222" s="8" t="s">
        <v>71</v>
      </c>
      <c r="J222" s="8">
        <v>179</v>
      </c>
      <c r="K222" s="8">
        <v>134</v>
      </c>
      <c r="L222" s="8">
        <v>270</v>
      </c>
      <c r="M222" s="24">
        <v>4.3</v>
      </c>
      <c r="N222" s="15">
        <v>55000</v>
      </c>
      <c r="O222" s="15">
        <v>49300</v>
      </c>
      <c r="P222" s="8" t="s">
        <v>64</v>
      </c>
      <c r="Q222" s="8" t="s">
        <v>65</v>
      </c>
    </row>
    <row r="223" spans="1:17" ht="16" x14ac:dyDescent="0.45">
      <c r="A223" s="8" t="s">
        <v>396</v>
      </c>
      <c r="B223" s="23">
        <v>46012</v>
      </c>
      <c r="C223" s="8" t="s">
        <v>145</v>
      </c>
      <c r="D223" s="8" t="s">
        <v>59</v>
      </c>
      <c r="E223" s="8" t="s">
        <v>172</v>
      </c>
      <c r="F223" s="8" t="s">
        <v>37</v>
      </c>
      <c r="G223" s="8" t="s">
        <v>89</v>
      </c>
      <c r="H223" s="8" t="s">
        <v>62</v>
      </c>
      <c r="I223" s="8" t="s">
        <v>117</v>
      </c>
      <c r="J223" s="8">
        <v>90</v>
      </c>
      <c r="K223" s="8">
        <v>65</v>
      </c>
      <c r="L223" s="8">
        <v>134</v>
      </c>
      <c r="M223" s="24">
        <v>4.2</v>
      </c>
      <c r="N223" s="15">
        <v>83000</v>
      </c>
      <c r="O223" s="15">
        <v>78300</v>
      </c>
      <c r="P223" s="8" t="s">
        <v>64</v>
      </c>
      <c r="Q223" s="8" t="s">
        <v>118</v>
      </c>
    </row>
    <row r="224" spans="1:17" ht="16" x14ac:dyDescent="0.45">
      <c r="A224" s="8" t="s">
        <v>397</v>
      </c>
      <c r="B224" s="23">
        <v>46014</v>
      </c>
      <c r="C224" s="8" t="s">
        <v>99</v>
      </c>
      <c r="D224" s="8" t="s">
        <v>75</v>
      </c>
      <c r="E224" s="8" t="s">
        <v>152</v>
      </c>
      <c r="F224" s="8" t="s">
        <v>40</v>
      </c>
      <c r="G224" s="8" t="s">
        <v>69</v>
      </c>
      <c r="H224" s="8" t="s">
        <v>77</v>
      </c>
      <c r="I224" s="8" t="s">
        <v>78</v>
      </c>
      <c r="J224" s="8">
        <v>310</v>
      </c>
      <c r="K224" s="8">
        <v>169</v>
      </c>
      <c r="L224" s="8">
        <v>81</v>
      </c>
      <c r="M224" s="24">
        <v>3.7</v>
      </c>
      <c r="N224" s="15">
        <v>51000</v>
      </c>
      <c r="O224" s="15">
        <v>49000</v>
      </c>
      <c r="P224" s="8" t="s">
        <v>64</v>
      </c>
      <c r="Q224" s="8" t="s">
        <v>142</v>
      </c>
    </row>
    <row r="225" spans="1:17" ht="16" x14ac:dyDescent="0.45">
      <c r="A225" s="8" t="s">
        <v>398</v>
      </c>
      <c r="B225" s="23">
        <v>46014</v>
      </c>
      <c r="C225" s="8" t="s">
        <v>99</v>
      </c>
      <c r="D225" s="8" t="s">
        <v>75</v>
      </c>
      <c r="E225" s="8" t="s">
        <v>212</v>
      </c>
      <c r="F225" s="8" t="s">
        <v>41</v>
      </c>
      <c r="G225" s="8" t="s">
        <v>61</v>
      </c>
      <c r="H225" s="8" t="s">
        <v>62</v>
      </c>
      <c r="I225" s="8" t="s">
        <v>71</v>
      </c>
      <c r="J225" s="8">
        <v>42</v>
      </c>
      <c r="K225" s="8">
        <v>31</v>
      </c>
      <c r="L225" s="8">
        <v>19</v>
      </c>
      <c r="M225" s="24">
        <v>4.0999999999999996</v>
      </c>
      <c r="N225" s="15">
        <v>53000</v>
      </c>
      <c r="O225" s="15">
        <v>54400</v>
      </c>
      <c r="P225" s="8" t="s">
        <v>64</v>
      </c>
      <c r="Q225" s="8" t="s">
        <v>399</v>
      </c>
    </row>
    <row r="226" spans="1:17" ht="16" x14ac:dyDescent="0.45">
      <c r="A226" s="8" t="s">
        <v>400</v>
      </c>
      <c r="B226" s="23">
        <v>46016</v>
      </c>
      <c r="C226" s="8" t="s">
        <v>74</v>
      </c>
      <c r="D226" s="8" t="s">
        <v>67</v>
      </c>
      <c r="E226" s="8" t="s">
        <v>139</v>
      </c>
      <c r="F226" s="8" t="s">
        <v>39</v>
      </c>
      <c r="G226" s="8" t="s">
        <v>83</v>
      </c>
      <c r="H226" s="8" t="s">
        <v>70</v>
      </c>
      <c r="I226" s="8" t="s">
        <v>63</v>
      </c>
      <c r="J226" s="8">
        <v>119</v>
      </c>
      <c r="K226" s="8">
        <v>99</v>
      </c>
      <c r="L226" s="8">
        <v>79</v>
      </c>
      <c r="M226" s="24">
        <v>4.3</v>
      </c>
      <c r="N226" s="15">
        <v>84500</v>
      </c>
      <c r="O226" s="15">
        <v>80100</v>
      </c>
      <c r="P226" s="8" t="s">
        <v>64</v>
      </c>
      <c r="Q226" s="8" t="s">
        <v>127</v>
      </c>
    </row>
    <row r="227" spans="1:17" ht="16" x14ac:dyDescent="0.45">
      <c r="A227" s="8" t="s">
        <v>401</v>
      </c>
      <c r="B227" s="23">
        <v>46019</v>
      </c>
      <c r="C227" s="8" t="s">
        <v>145</v>
      </c>
      <c r="D227" s="8" t="s">
        <v>59</v>
      </c>
      <c r="E227" s="8" t="s">
        <v>177</v>
      </c>
      <c r="F227" s="8" t="s">
        <v>39</v>
      </c>
      <c r="G227" s="8" t="s">
        <v>83</v>
      </c>
      <c r="H227" s="8" t="s">
        <v>62</v>
      </c>
      <c r="I227" s="8" t="s">
        <v>117</v>
      </c>
      <c r="J227" s="8">
        <v>86</v>
      </c>
      <c r="K227" s="8">
        <v>54</v>
      </c>
      <c r="L227" s="8">
        <v>29</v>
      </c>
      <c r="M227" s="24">
        <v>4.0999999999999996</v>
      </c>
      <c r="N227" s="15">
        <v>87500</v>
      </c>
      <c r="O227" s="15">
        <v>76900</v>
      </c>
      <c r="P227" s="8" t="s">
        <v>64</v>
      </c>
      <c r="Q227" s="8" t="s">
        <v>142</v>
      </c>
    </row>
    <row r="228" spans="1:17" ht="16" x14ac:dyDescent="0.45">
      <c r="A228" s="8" t="s">
        <v>402</v>
      </c>
      <c r="B228" s="23">
        <v>46020</v>
      </c>
      <c r="C228" s="8" t="s">
        <v>170</v>
      </c>
      <c r="D228" s="8" t="s">
        <v>75</v>
      </c>
      <c r="E228" s="8" t="s">
        <v>121</v>
      </c>
      <c r="F228" s="8" t="s">
        <v>38</v>
      </c>
      <c r="G228" s="8" t="s">
        <v>101</v>
      </c>
      <c r="H228" s="8" t="s">
        <v>62</v>
      </c>
      <c r="I228" s="8" t="s">
        <v>104</v>
      </c>
      <c r="J228" s="8">
        <v>81</v>
      </c>
      <c r="K228" s="8">
        <v>65</v>
      </c>
      <c r="L228" s="8">
        <v>45</v>
      </c>
      <c r="M228" s="24">
        <v>4.0999999999999996</v>
      </c>
      <c r="N228" s="15">
        <v>41500</v>
      </c>
      <c r="O228" s="15">
        <v>41500</v>
      </c>
      <c r="P228" s="8" t="s">
        <v>64</v>
      </c>
      <c r="Q228" s="8" t="s">
        <v>403</v>
      </c>
    </row>
    <row r="229" spans="1:17" ht="16" x14ac:dyDescent="0.45">
      <c r="A229" s="8" t="s">
        <v>404</v>
      </c>
      <c r="B229" s="23">
        <v>46021</v>
      </c>
      <c r="C229" s="8" t="s">
        <v>99</v>
      </c>
      <c r="D229" s="8" t="s">
        <v>67</v>
      </c>
      <c r="E229" s="8" t="s">
        <v>132</v>
      </c>
      <c r="F229" s="8" t="s">
        <v>37</v>
      </c>
      <c r="G229" s="8" t="s">
        <v>89</v>
      </c>
      <c r="H229" s="8" t="s">
        <v>77</v>
      </c>
      <c r="I229" s="8" t="s">
        <v>78</v>
      </c>
      <c r="J229" s="8">
        <v>252</v>
      </c>
      <c r="K229" s="8">
        <v>266</v>
      </c>
      <c r="L229" s="8">
        <v>231</v>
      </c>
      <c r="M229" s="24">
        <v>3.2</v>
      </c>
      <c r="N229" s="15">
        <v>11500</v>
      </c>
      <c r="O229" s="15">
        <v>11000</v>
      </c>
      <c r="P229" s="8" t="s">
        <v>64</v>
      </c>
      <c r="Q229" s="8" t="s">
        <v>142</v>
      </c>
    </row>
    <row r="230" spans="1:17" ht="16" x14ac:dyDescent="0.45">
      <c r="A230" s="8" t="s">
        <v>405</v>
      </c>
      <c r="B230" s="23">
        <v>46025</v>
      </c>
      <c r="C230" s="8" t="s">
        <v>81</v>
      </c>
      <c r="D230" s="8" t="s">
        <v>59</v>
      </c>
      <c r="E230" s="8" t="s">
        <v>82</v>
      </c>
      <c r="F230" s="8" t="s">
        <v>39</v>
      </c>
      <c r="G230" s="8" t="s">
        <v>83</v>
      </c>
      <c r="H230" s="8" t="s">
        <v>156</v>
      </c>
      <c r="I230" s="8" t="s">
        <v>63</v>
      </c>
      <c r="J230" s="8">
        <v>36</v>
      </c>
      <c r="K230" s="8">
        <v>22</v>
      </c>
      <c r="L230" s="8">
        <v>10</v>
      </c>
      <c r="M230" s="24">
        <v>4.4000000000000004</v>
      </c>
      <c r="N230" s="15">
        <v>70000</v>
      </c>
      <c r="O230" s="15">
        <v>71900</v>
      </c>
      <c r="P230" s="8" t="s">
        <v>64</v>
      </c>
      <c r="Q230" s="8" t="s">
        <v>86</v>
      </c>
    </row>
    <row r="231" spans="1:17" ht="16" x14ac:dyDescent="0.45">
      <c r="A231" s="8" t="s">
        <v>406</v>
      </c>
      <c r="B231" s="23">
        <v>46026</v>
      </c>
      <c r="C231" s="8" t="s">
        <v>145</v>
      </c>
      <c r="D231" s="8" t="s">
        <v>59</v>
      </c>
      <c r="E231" s="8" t="s">
        <v>103</v>
      </c>
      <c r="F231" s="8" t="s">
        <v>37</v>
      </c>
      <c r="G231" s="8" t="s">
        <v>89</v>
      </c>
      <c r="H231" s="8" t="s">
        <v>62</v>
      </c>
      <c r="I231" s="8" t="s">
        <v>104</v>
      </c>
      <c r="J231" s="8">
        <v>113</v>
      </c>
      <c r="K231" s="8">
        <v>72</v>
      </c>
      <c r="L231" s="8">
        <v>67</v>
      </c>
      <c r="M231" s="24">
        <v>4.0999999999999996</v>
      </c>
      <c r="N231" s="15">
        <v>83500</v>
      </c>
      <c r="O231" s="15">
        <v>66900</v>
      </c>
      <c r="P231" s="8" t="s">
        <v>64</v>
      </c>
      <c r="Q231" s="8" t="s">
        <v>65</v>
      </c>
    </row>
    <row r="232" spans="1:17" ht="16" x14ac:dyDescent="0.45">
      <c r="A232" s="8" t="s">
        <v>407</v>
      </c>
      <c r="B232" s="23">
        <v>46028</v>
      </c>
      <c r="C232" s="8" t="s">
        <v>99</v>
      </c>
      <c r="D232" s="8" t="s">
        <v>75</v>
      </c>
      <c r="E232" s="8" t="s">
        <v>129</v>
      </c>
      <c r="F232" s="8" t="s">
        <v>40</v>
      </c>
      <c r="G232" s="8" t="s">
        <v>69</v>
      </c>
      <c r="H232" s="8" t="s">
        <v>77</v>
      </c>
      <c r="I232" s="8" t="s">
        <v>78</v>
      </c>
      <c r="J232" s="8">
        <v>113</v>
      </c>
      <c r="K232" s="8">
        <v>57</v>
      </c>
      <c r="L232" s="8">
        <v>32</v>
      </c>
      <c r="M232" s="24">
        <v>3.7</v>
      </c>
      <c r="N232" s="15">
        <v>64000</v>
      </c>
      <c r="O232" s="15">
        <v>50100</v>
      </c>
      <c r="P232" s="8" t="s">
        <v>64</v>
      </c>
      <c r="Q232" s="8" t="s">
        <v>86</v>
      </c>
    </row>
    <row r="233" spans="1:17" ht="16" x14ac:dyDescent="0.45">
      <c r="A233" s="8" t="s">
        <v>408</v>
      </c>
      <c r="B233" s="23">
        <v>46031</v>
      </c>
      <c r="C233" s="8" t="s">
        <v>113</v>
      </c>
      <c r="D233" s="8" t="s">
        <v>59</v>
      </c>
      <c r="E233" s="8" t="s">
        <v>100</v>
      </c>
      <c r="F233" s="8" t="s">
        <v>38</v>
      </c>
      <c r="G233" s="8" t="s">
        <v>101</v>
      </c>
      <c r="H233" s="8" t="s">
        <v>62</v>
      </c>
      <c r="I233" s="8" t="s">
        <v>85</v>
      </c>
      <c r="J233" s="8">
        <v>28</v>
      </c>
      <c r="K233" s="8">
        <v>11</v>
      </c>
      <c r="L233" s="8">
        <v>3</v>
      </c>
      <c r="M233" s="24">
        <v>3.7</v>
      </c>
      <c r="N233" s="15">
        <v>34500</v>
      </c>
      <c r="O233" s="15">
        <v>30200</v>
      </c>
      <c r="P233" s="8" t="s">
        <v>64</v>
      </c>
      <c r="Q233" s="8" t="s">
        <v>111</v>
      </c>
    </row>
    <row r="234" spans="1:17" ht="16" x14ac:dyDescent="0.45">
      <c r="A234" s="8" t="s">
        <v>409</v>
      </c>
      <c r="B234" s="23">
        <v>46031</v>
      </c>
      <c r="C234" s="8" t="s">
        <v>113</v>
      </c>
      <c r="D234" s="8" t="s">
        <v>75</v>
      </c>
      <c r="E234" s="8" t="s">
        <v>262</v>
      </c>
      <c r="F234" s="8" t="s">
        <v>38</v>
      </c>
      <c r="G234" s="8" t="s">
        <v>101</v>
      </c>
      <c r="H234" s="8" t="s">
        <v>84</v>
      </c>
      <c r="I234" s="8" t="s">
        <v>71</v>
      </c>
      <c r="J234" s="8">
        <v>63</v>
      </c>
      <c r="K234" s="8">
        <v>47</v>
      </c>
      <c r="L234" s="8">
        <v>28</v>
      </c>
      <c r="M234" s="24">
        <v>4.5</v>
      </c>
      <c r="N234" s="15">
        <v>50000</v>
      </c>
      <c r="O234" s="15">
        <v>48500</v>
      </c>
      <c r="P234" s="8" t="s">
        <v>64</v>
      </c>
      <c r="Q234" s="8" t="s">
        <v>118</v>
      </c>
    </row>
    <row r="235" spans="1:17" ht="16" x14ac:dyDescent="0.45">
      <c r="A235" s="8" t="s">
        <v>410</v>
      </c>
      <c r="B235" s="23">
        <v>46036</v>
      </c>
      <c r="C235" s="8" t="s">
        <v>58</v>
      </c>
      <c r="D235" s="8" t="s">
        <v>120</v>
      </c>
      <c r="E235" s="8" t="s">
        <v>82</v>
      </c>
      <c r="F235" s="8" t="s">
        <v>39</v>
      </c>
      <c r="G235" s="8" t="s">
        <v>83</v>
      </c>
      <c r="H235" s="8" t="s">
        <v>62</v>
      </c>
      <c r="I235" s="8" t="s">
        <v>104</v>
      </c>
      <c r="J235" s="8">
        <v>132</v>
      </c>
      <c r="K235" s="8">
        <v>115</v>
      </c>
      <c r="L235" s="8">
        <v>74</v>
      </c>
      <c r="M235" s="24">
        <v>4.0999999999999996</v>
      </c>
      <c r="N235" s="15">
        <v>59000</v>
      </c>
      <c r="O235" s="15">
        <v>50600</v>
      </c>
      <c r="P235" s="8" t="s">
        <v>64</v>
      </c>
      <c r="Q235" s="8" t="s">
        <v>411</v>
      </c>
    </row>
    <row r="236" spans="1:17" ht="16" x14ac:dyDescent="0.45">
      <c r="A236" s="8" t="s">
        <v>412</v>
      </c>
      <c r="B236" s="23">
        <v>46038</v>
      </c>
      <c r="C236" s="8" t="s">
        <v>113</v>
      </c>
      <c r="D236" s="8" t="s">
        <v>75</v>
      </c>
      <c r="E236" s="8" t="s">
        <v>116</v>
      </c>
      <c r="F236" s="8" t="s">
        <v>39</v>
      </c>
      <c r="G236" s="8" t="s">
        <v>83</v>
      </c>
      <c r="H236" s="8" t="s">
        <v>62</v>
      </c>
      <c r="I236" s="8" t="s">
        <v>104</v>
      </c>
      <c r="J236" s="8">
        <v>70</v>
      </c>
      <c r="K236" s="8">
        <v>57</v>
      </c>
      <c r="L236" s="8">
        <v>21</v>
      </c>
      <c r="M236" s="24">
        <v>3.8</v>
      </c>
      <c r="N236" s="15">
        <v>62500</v>
      </c>
      <c r="O236" s="15">
        <v>54900</v>
      </c>
      <c r="P236" s="8" t="s">
        <v>64</v>
      </c>
      <c r="Q236" s="8" t="s">
        <v>137</v>
      </c>
    </row>
    <row r="237" spans="1:17" ht="16" x14ac:dyDescent="0.45">
      <c r="A237" s="8" t="s">
        <v>413</v>
      </c>
      <c r="B237" s="23">
        <v>46038</v>
      </c>
      <c r="C237" s="8" t="s">
        <v>113</v>
      </c>
      <c r="D237" s="8" t="s">
        <v>75</v>
      </c>
      <c r="E237" s="8" t="s">
        <v>152</v>
      </c>
      <c r="F237" s="8" t="s">
        <v>40</v>
      </c>
      <c r="G237" s="8" t="s">
        <v>69</v>
      </c>
      <c r="H237" s="8" t="s">
        <v>62</v>
      </c>
      <c r="I237" s="8" t="s">
        <v>71</v>
      </c>
      <c r="J237" s="8">
        <v>133</v>
      </c>
      <c r="K237" s="8">
        <v>93</v>
      </c>
      <c r="L237" s="8">
        <v>76</v>
      </c>
      <c r="M237" s="24">
        <v>4.5999999999999996</v>
      </c>
      <c r="N237" s="15">
        <v>30500</v>
      </c>
      <c r="O237" s="15">
        <v>30200</v>
      </c>
      <c r="P237" s="8" t="s">
        <v>64</v>
      </c>
      <c r="Q237" s="8" t="s">
        <v>118</v>
      </c>
    </row>
    <row r="238" spans="1:17" ht="16" x14ac:dyDescent="0.45">
      <c r="A238" s="8" t="s">
        <v>414</v>
      </c>
      <c r="B238" s="23">
        <v>46040</v>
      </c>
      <c r="C238" s="8" t="s">
        <v>145</v>
      </c>
      <c r="D238" s="8" t="s">
        <v>59</v>
      </c>
      <c r="E238" s="8" t="s">
        <v>129</v>
      </c>
      <c r="F238" s="8" t="s">
        <v>40</v>
      </c>
      <c r="G238" s="8" t="s">
        <v>69</v>
      </c>
      <c r="H238" s="8" t="s">
        <v>77</v>
      </c>
      <c r="I238" s="8" t="s">
        <v>78</v>
      </c>
      <c r="J238" s="8">
        <v>153</v>
      </c>
      <c r="K238" s="8">
        <v>79</v>
      </c>
      <c r="L238" s="8">
        <v>21</v>
      </c>
      <c r="M238" s="24">
        <v>3.4</v>
      </c>
      <c r="N238" s="15">
        <v>52500</v>
      </c>
      <c r="O238" s="15">
        <v>49100</v>
      </c>
      <c r="P238" s="8" t="s">
        <v>64</v>
      </c>
      <c r="Q238" s="8" t="s">
        <v>127</v>
      </c>
    </row>
    <row r="239" spans="1:17" ht="16" x14ac:dyDescent="0.45">
      <c r="A239" s="8" t="s">
        <v>415</v>
      </c>
      <c r="B239" s="23">
        <v>46041</v>
      </c>
      <c r="C239" s="8" t="s">
        <v>170</v>
      </c>
      <c r="D239" s="8" t="s">
        <v>59</v>
      </c>
      <c r="E239" s="8" t="s">
        <v>121</v>
      </c>
      <c r="F239" s="8" t="s">
        <v>38</v>
      </c>
      <c r="G239" s="8" t="s">
        <v>101</v>
      </c>
      <c r="H239" s="8" t="s">
        <v>62</v>
      </c>
      <c r="I239" s="8" t="s">
        <v>71</v>
      </c>
      <c r="J239" s="8">
        <v>77</v>
      </c>
      <c r="K239" s="8">
        <v>0</v>
      </c>
      <c r="L239" s="8">
        <v>0</v>
      </c>
      <c r="M239" s="24"/>
      <c r="N239" s="15">
        <v>67500</v>
      </c>
      <c r="O239" s="15">
        <v>6750</v>
      </c>
      <c r="P239" s="8" t="s">
        <v>96</v>
      </c>
      <c r="Q239" s="8" t="s">
        <v>111</v>
      </c>
    </row>
    <row r="240" spans="1:17" ht="16" x14ac:dyDescent="0.45">
      <c r="A240" s="8" t="s">
        <v>416</v>
      </c>
      <c r="B240" s="23">
        <v>46049</v>
      </c>
      <c r="C240" s="8" t="s">
        <v>99</v>
      </c>
      <c r="D240" s="8" t="s">
        <v>59</v>
      </c>
      <c r="E240" s="8" t="s">
        <v>247</v>
      </c>
      <c r="F240" s="8" t="s">
        <v>36</v>
      </c>
      <c r="G240" s="8" t="s">
        <v>108</v>
      </c>
      <c r="H240" s="8" t="s">
        <v>156</v>
      </c>
      <c r="I240" s="8" t="s">
        <v>71</v>
      </c>
      <c r="J240" s="8">
        <v>113</v>
      </c>
      <c r="K240" s="8">
        <v>85</v>
      </c>
      <c r="L240" s="8">
        <v>47</v>
      </c>
      <c r="M240" s="24">
        <v>4.5</v>
      </c>
      <c r="N240" s="15">
        <v>76000</v>
      </c>
      <c r="O240" s="15">
        <v>88600</v>
      </c>
      <c r="P240" s="8" t="s">
        <v>64</v>
      </c>
      <c r="Q240" s="8" t="s">
        <v>118</v>
      </c>
    </row>
    <row r="241" spans="1:17" ht="16" x14ac:dyDescent="0.45">
      <c r="A241" s="8" t="s">
        <v>417</v>
      </c>
      <c r="B241" s="23">
        <v>46053</v>
      </c>
      <c r="C241" s="8" t="s">
        <v>81</v>
      </c>
      <c r="D241" s="8" t="s">
        <v>59</v>
      </c>
      <c r="E241" s="8" t="s">
        <v>194</v>
      </c>
      <c r="F241" s="8" t="s">
        <v>38</v>
      </c>
      <c r="G241" s="8" t="s">
        <v>101</v>
      </c>
      <c r="H241" s="8" t="s">
        <v>62</v>
      </c>
      <c r="I241" s="8" t="s">
        <v>71</v>
      </c>
      <c r="J241" s="8">
        <v>94</v>
      </c>
      <c r="K241" s="8">
        <v>61</v>
      </c>
      <c r="L241" s="8">
        <v>47</v>
      </c>
      <c r="M241" s="24">
        <v>3.9</v>
      </c>
      <c r="N241" s="15">
        <v>64500</v>
      </c>
      <c r="O241" s="15">
        <v>60400</v>
      </c>
      <c r="P241" s="8" t="s">
        <v>64</v>
      </c>
      <c r="Q241" s="8" t="s">
        <v>118</v>
      </c>
    </row>
    <row r="242" spans="1:17" ht="16" x14ac:dyDescent="0.45">
      <c r="A242" s="8" t="s">
        <v>418</v>
      </c>
      <c r="B242" s="23">
        <v>46053</v>
      </c>
      <c r="C242" s="8" t="s">
        <v>81</v>
      </c>
      <c r="D242" s="8" t="s">
        <v>59</v>
      </c>
      <c r="E242" s="8" t="s">
        <v>172</v>
      </c>
      <c r="F242" s="8" t="s">
        <v>37</v>
      </c>
      <c r="G242" s="8" t="s">
        <v>89</v>
      </c>
      <c r="H242" s="8" t="s">
        <v>62</v>
      </c>
      <c r="I242" s="8" t="s">
        <v>117</v>
      </c>
      <c r="J242" s="8">
        <v>125</v>
      </c>
      <c r="K242" s="8">
        <v>84</v>
      </c>
      <c r="L242" s="8">
        <v>171</v>
      </c>
      <c r="M242" s="24">
        <v>4.3</v>
      </c>
      <c r="N242" s="15">
        <v>41500</v>
      </c>
      <c r="O242" s="15">
        <v>41000</v>
      </c>
      <c r="P242" s="8" t="s">
        <v>64</v>
      </c>
      <c r="Q242" s="8" t="s">
        <v>65</v>
      </c>
    </row>
    <row r="243" spans="1:17" ht="16" x14ac:dyDescent="0.45">
      <c r="A243" s="8" t="s">
        <v>419</v>
      </c>
      <c r="B243" s="23">
        <v>46055</v>
      </c>
      <c r="C243" s="8" t="s">
        <v>170</v>
      </c>
      <c r="D243" s="8" t="s">
        <v>75</v>
      </c>
      <c r="E243" s="8" t="s">
        <v>100</v>
      </c>
      <c r="F243" s="8" t="s">
        <v>38</v>
      </c>
      <c r="G243" s="8" t="s">
        <v>101</v>
      </c>
      <c r="H243" s="8" t="s">
        <v>62</v>
      </c>
      <c r="I243" s="8" t="s">
        <v>85</v>
      </c>
      <c r="J243" s="8">
        <v>111</v>
      </c>
      <c r="K243" s="8">
        <v>99</v>
      </c>
      <c r="L243" s="8">
        <v>35</v>
      </c>
      <c r="M243" s="24">
        <v>4.2</v>
      </c>
      <c r="N243" s="15">
        <v>50000</v>
      </c>
      <c r="O243" s="15">
        <v>43400</v>
      </c>
      <c r="P243" s="8" t="s">
        <v>64</v>
      </c>
      <c r="Q243" s="8" t="s">
        <v>239</v>
      </c>
    </row>
    <row r="244" spans="1:17" ht="16" x14ac:dyDescent="0.45">
      <c r="A244" s="8" t="s">
        <v>420</v>
      </c>
      <c r="B244" s="23">
        <v>46055</v>
      </c>
      <c r="C244" s="8" t="s">
        <v>170</v>
      </c>
      <c r="D244" s="8" t="s">
        <v>67</v>
      </c>
      <c r="E244" s="8" t="s">
        <v>129</v>
      </c>
      <c r="F244" s="8" t="s">
        <v>40</v>
      </c>
      <c r="G244" s="8" t="s">
        <v>69</v>
      </c>
      <c r="H244" s="8" t="s">
        <v>77</v>
      </c>
      <c r="I244" s="8" t="s">
        <v>78</v>
      </c>
      <c r="J244" s="8">
        <v>286</v>
      </c>
      <c r="K244" s="8">
        <v>167</v>
      </c>
      <c r="L244" s="8">
        <v>35</v>
      </c>
      <c r="M244" s="24">
        <v>4.0999999999999996</v>
      </c>
      <c r="N244" s="15">
        <v>37500</v>
      </c>
      <c r="O244" s="15">
        <v>33600</v>
      </c>
      <c r="P244" s="8" t="s">
        <v>64</v>
      </c>
      <c r="Q244" s="8" t="s">
        <v>260</v>
      </c>
    </row>
    <row r="245" spans="1:17" ht="16" x14ac:dyDescent="0.45">
      <c r="A245" s="8" t="s">
        <v>421</v>
      </c>
      <c r="B245" s="23">
        <v>46059</v>
      </c>
      <c r="C245" s="8" t="s">
        <v>113</v>
      </c>
      <c r="D245" s="8" t="s">
        <v>59</v>
      </c>
      <c r="E245" s="8" t="s">
        <v>165</v>
      </c>
      <c r="F245" s="8" t="s">
        <v>38</v>
      </c>
      <c r="G245" s="8" t="s">
        <v>101</v>
      </c>
      <c r="H245" s="8" t="s">
        <v>183</v>
      </c>
      <c r="I245" s="8" t="s">
        <v>71</v>
      </c>
      <c r="J245" s="8">
        <v>25</v>
      </c>
      <c r="K245" s="8">
        <v>13</v>
      </c>
      <c r="L245" s="8">
        <v>4</v>
      </c>
      <c r="M245" s="24">
        <v>3.9</v>
      </c>
      <c r="N245" s="15">
        <v>12000</v>
      </c>
      <c r="O245" s="15">
        <v>12100</v>
      </c>
      <c r="P245" s="8" t="s">
        <v>64</v>
      </c>
      <c r="Q245" s="8" t="s">
        <v>137</v>
      </c>
    </row>
    <row r="246" spans="1:17" ht="16" x14ac:dyDescent="0.45">
      <c r="A246" s="8" t="s">
        <v>422</v>
      </c>
      <c r="B246" s="23">
        <v>46063</v>
      </c>
      <c r="C246" s="8" t="s">
        <v>99</v>
      </c>
      <c r="D246" s="8" t="s">
        <v>67</v>
      </c>
      <c r="E246" s="8" t="s">
        <v>177</v>
      </c>
      <c r="F246" s="8" t="s">
        <v>39</v>
      </c>
      <c r="G246" s="8" t="s">
        <v>83</v>
      </c>
      <c r="H246" s="8" t="s">
        <v>62</v>
      </c>
      <c r="I246" s="8" t="s">
        <v>71</v>
      </c>
      <c r="J246" s="8">
        <v>168</v>
      </c>
      <c r="K246" s="8">
        <v>140</v>
      </c>
      <c r="L246" s="8">
        <v>56</v>
      </c>
      <c r="M246" s="24">
        <v>3.9</v>
      </c>
      <c r="N246" s="15">
        <v>69500</v>
      </c>
      <c r="O246" s="15">
        <v>62600</v>
      </c>
      <c r="P246" s="8" t="s">
        <v>64</v>
      </c>
      <c r="Q246" s="8" t="s">
        <v>93</v>
      </c>
    </row>
    <row r="247" spans="1:17" ht="16" x14ac:dyDescent="0.45">
      <c r="A247" s="8" t="s">
        <v>423</v>
      </c>
      <c r="B247" s="23">
        <v>46065</v>
      </c>
      <c r="C247" s="8" t="s">
        <v>74</v>
      </c>
      <c r="D247" s="8" t="s">
        <v>120</v>
      </c>
      <c r="E247" s="8" t="s">
        <v>121</v>
      </c>
      <c r="F247" s="8" t="s">
        <v>38</v>
      </c>
      <c r="G247" s="8" t="s">
        <v>101</v>
      </c>
      <c r="H247" s="8" t="s">
        <v>62</v>
      </c>
      <c r="I247" s="8" t="s">
        <v>117</v>
      </c>
      <c r="J247" s="8">
        <v>172</v>
      </c>
      <c r="K247" s="8">
        <v>123</v>
      </c>
      <c r="L247" s="8">
        <v>59</v>
      </c>
      <c r="M247" s="24">
        <v>4.3</v>
      </c>
      <c r="N247" s="15">
        <v>88500</v>
      </c>
      <c r="O247" s="15">
        <v>73600</v>
      </c>
      <c r="P247" s="8" t="s">
        <v>64</v>
      </c>
      <c r="Q247" s="8" t="s">
        <v>142</v>
      </c>
    </row>
    <row r="248" spans="1:17" ht="16" x14ac:dyDescent="0.45">
      <c r="A248" s="8" t="s">
        <v>424</v>
      </c>
      <c r="B248" s="23">
        <v>46066</v>
      </c>
      <c r="C248" s="8" t="s">
        <v>113</v>
      </c>
      <c r="D248" s="8" t="s">
        <v>59</v>
      </c>
      <c r="E248" s="8" t="s">
        <v>114</v>
      </c>
      <c r="F248" s="8" t="s">
        <v>39</v>
      </c>
      <c r="G248" s="8" t="s">
        <v>83</v>
      </c>
      <c r="H248" s="8" t="s">
        <v>62</v>
      </c>
      <c r="I248" s="8" t="s">
        <v>117</v>
      </c>
      <c r="J248" s="8">
        <v>73</v>
      </c>
      <c r="K248" s="8">
        <v>52</v>
      </c>
      <c r="L248" s="8">
        <v>38</v>
      </c>
      <c r="M248" s="24">
        <v>4.8</v>
      </c>
      <c r="N248" s="15">
        <v>61500</v>
      </c>
      <c r="O248" s="15">
        <v>60900</v>
      </c>
      <c r="P248" s="8" t="s">
        <v>64</v>
      </c>
      <c r="Q248" s="8" t="s">
        <v>118</v>
      </c>
    </row>
    <row r="249" spans="1:17" ht="16" x14ac:dyDescent="0.45">
      <c r="A249" s="8" t="s">
        <v>425</v>
      </c>
      <c r="B249" s="23">
        <v>46069</v>
      </c>
      <c r="C249" s="8" t="s">
        <v>170</v>
      </c>
      <c r="D249" s="8" t="s">
        <v>120</v>
      </c>
      <c r="E249" s="8" t="s">
        <v>116</v>
      </c>
      <c r="F249" s="8" t="s">
        <v>39</v>
      </c>
      <c r="G249" s="8" t="s">
        <v>83</v>
      </c>
      <c r="H249" s="8" t="s">
        <v>62</v>
      </c>
      <c r="I249" s="8" t="s">
        <v>117</v>
      </c>
      <c r="J249" s="8">
        <v>105</v>
      </c>
      <c r="K249" s="8">
        <v>88</v>
      </c>
      <c r="L249" s="8">
        <v>53</v>
      </c>
      <c r="M249" s="24">
        <v>4.2</v>
      </c>
      <c r="N249" s="15">
        <v>34000</v>
      </c>
      <c r="O249" s="15">
        <v>31700</v>
      </c>
      <c r="P249" s="8" t="s">
        <v>64</v>
      </c>
      <c r="Q249" s="8" t="s">
        <v>118</v>
      </c>
    </row>
    <row r="250" spans="1:17" ht="16" x14ac:dyDescent="0.45">
      <c r="A250" s="8" t="s">
        <v>426</v>
      </c>
      <c r="B250" s="23">
        <v>46069</v>
      </c>
      <c r="C250" s="8" t="s">
        <v>170</v>
      </c>
      <c r="D250" s="8" t="s">
        <v>59</v>
      </c>
      <c r="E250" s="8" t="s">
        <v>76</v>
      </c>
      <c r="F250" s="8" t="s">
        <v>40</v>
      </c>
      <c r="G250" s="8" t="s">
        <v>69</v>
      </c>
      <c r="H250" s="8" t="s">
        <v>62</v>
      </c>
      <c r="I250" s="8" t="s">
        <v>117</v>
      </c>
      <c r="J250" s="8">
        <v>61</v>
      </c>
      <c r="K250" s="8">
        <v>40</v>
      </c>
      <c r="L250" s="8">
        <v>34</v>
      </c>
      <c r="M250" s="24">
        <v>4.4000000000000004</v>
      </c>
      <c r="N250" s="15">
        <v>59000</v>
      </c>
      <c r="O250" s="15">
        <v>48700</v>
      </c>
      <c r="P250" s="8" t="s">
        <v>64</v>
      </c>
      <c r="Q250" s="8" t="s">
        <v>127</v>
      </c>
    </row>
    <row r="251" spans="1:17" ht="16" x14ac:dyDescent="0.45">
      <c r="A251" s="8" t="s">
        <v>427</v>
      </c>
      <c r="B251" s="23">
        <v>46073</v>
      </c>
      <c r="C251" s="8" t="s">
        <v>113</v>
      </c>
      <c r="D251" s="8" t="s">
        <v>67</v>
      </c>
      <c r="E251" s="8" t="s">
        <v>212</v>
      </c>
      <c r="F251" s="8" t="s">
        <v>41</v>
      </c>
      <c r="G251" s="8" t="s">
        <v>61</v>
      </c>
      <c r="H251" s="8" t="s">
        <v>62</v>
      </c>
      <c r="I251" s="8" t="s">
        <v>117</v>
      </c>
      <c r="J251" s="8">
        <v>139</v>
      </c>
      <c r="K251" s="8">
        <v>129</v>
      </c>
      <c r="L251" s="8">
        <v>135</v>
      </c>
      <c r="M251" s="24">
        <v>4.3</v>
      </c>
      <c r="N251" s="15">
        <v>14500</v>
      </c>
      <c r="O251" s="15">
        <v>13400</v>
      </c>
      <c r="P251" s="8" t="s">
        <v>64</v>
      </c>
      <c r="Q251" s="8" t="s">
        <v>137</v>
      </c>
    </row>
    <row r="252" spans="1:17" ht="16" x14ac:dyDescent="0.45">
      <c r="A252" s="8" t="s">
        <v>428</v>
      </c>
      <c r="B252" s="23">
        <v>46076</v>
      </c>
      <c r="C252" s="8" t="s">
        <v>170</v>
      </c>
      <c r="D252" s="8" t="s">
        <v>75</v>
      </c>
      <c r="E252" s="8" t="s">
        <v>165</v>
      </c>
      <c r="F252" s="8" t="s">
        <v>38</v>
      </c>
      <c r="G252" s="8" t="s">
        <v>101</v>
      </c>
      <c r="H252" s="8" t="s">
        <v>62</v>
      </c>
      <c r="I252" s="8" t="s">
        <v>104</v>
      </c>
      <c r="J252" s="8">
        <v>45</v>
      </c>
      <c r="K252" s="8">
        <v>34</v>
      </c>
      <c r="L252" s="8">
        <v>25</v>
      </c>
      <c r="M252" s="24">
        <v>4.5</v>
      </c>
      <c r="N252" s="15">
        <v>8000</v>
      </c>
      <c r="O252" s="15">
        <v>7500</v>
      </c>
      <c r="P252" s="8" t="s">
        <v>64</v>
      </c>
      <c r="Q252" s="8" t="s">
        <v>142</v>
      </c>
    </row>
    <row r="253" spans="1:17" ht="16" x14ac:dyDescent="0.45">
      <c r="A253" s="8" t="s">
        <v>429</v>
      </c>
      <c r="B253" s="23">
        <v>46077</v>
      </c>
      <c r="C253" s="8" t="s">
        <v>99</v>
      </c>
      <c r="D253" s="8" t="s">
        <v>120</v>
      </c>
      <c r="E253" s="8" t="s">
        <v>123</v>
      </c>
      <c r="F253" s="8" t="s">
        <v>38</v>
      </c>
      <c r="G253" s="8" t="s">
        <v>101</v>
      </c>
      <c r="H253" s="8" t="s">
        <v>62</v>
      </c>
      <c r="I253" s="8" t="s">
        <v>71</v>
      </c>
      <c r="J253" s="8">
        <v>115</v>
      </c>
      <c r="K253" s="8">
        <v>96</v>
      </c>
      <c r="L253" s="8">
        <v>43</v>
      </c>
      <c r="M253" s="24">
        <v>4.0999999999999996</v>
      </c>
      <c r="N253" s="15">
        <v>45500</v>
      </c>
      <c r="O253" s="15">
        <v>46400</v>
      </c>
      <c r="P253" s="8" t="s">
        <v>64</v>
      </c>
      <c r="Q253" s="8" t="s">
        <v>260</v>
      </c>
    </row>
    <row r="254" spans="1:17" ht="16" x14ac:dyDescent="0.45">
      <c r="A254" s="8" t="s">
        <v>430</v>
      </c>
      <c r="B254" s="23">
        <v>46077</v>
      </c>
      <c r="C254" s="8" t="s">
        <v>99</v>
      </c>
      <c r="D254" s="8" t="s">
        <v>75</v>
      </c>
      <c r="E254" s="8" t="s">
        <v>92</v>
      </c>
      <c r="F254" s="8" t="s">
        <v>41</v>
      </c>
      <c r="G254" s="8" t="s">
        <v>61</v>
      </c>
      <c r="H254" s="8" t="s">
        <v>84</v>
      </c>
      <c r="I254" s="8" t="s">
        <v>63</v>
      </c>
      <c r="J254" s="8">
        <v>157</v>
      </c>
      <c r="K254" s="8">
        <v>131</v>
      </c>
      <c r="L254" s="8">
        <v>250</v>
      </c>
      <c r="M254" s="24">
        <v>4.0999999999999996</v>
      </c>
      <c r="N254" s="15">
        <v>72000</v>
      </c>
      <c r="O254" s="15">
        <v>65800</v>
      </c>
      <c r="P254" s="8" t="s">
        <v>64</v>
      </c>
      <c r="Q254" s="8" t="s">
        <v>97</v>
      </c>
    </row>
    <row r="255" spans="1:17" ht="16" x14ac:dyDescent="0.45">
      <c r="A255" s="8" t="s">
        <v>431</v>
      </c>
      <c r="B255" s="23">
        <v>46080</v>
      </c>
      <c r="C255" s="8" t="s">
        <v>113</v>
      </c>
      <c r="D255" s="8" t="s">
        <v>59</v>
      </c>
      <c r="E255" s="8" t="s">
        <v>114</v>
      </c>
      <c r="F255" s="8" t="s">
        <v>39</v>
      </c>
      <c r="G255" s="8" t="s">
        <v>83</v>
      </c>
      <c r="H255" s="8" t="s">
        <v>62</v>
      </c>
      <c r="I255" s="8" t="s">
        <v>117</v>
      </c>
      <c r="J255" s="8">
        <v>145</v>
      </c>
      <c r="K255" s="8">
        <v>0</v>
      </c>
      <c r="L255" s="8">
        <v>0</v>
      </c>
      <c r="M255" s="24"/>
      <c r="N255" s="15">
        <v>47000</v>
      </c>
      <c r="O255" s="15">
        <v>4700</v>
      </c>
      <c r="P255" s="8" t="s">
        <v>96</v>
      </c>
      <c r="Q255" s="8" t="s">
        <v>118</v>
      </c>
    </row>
    <row r="256" spans="1:17" ht="16" x14ac:dyDescent="0.45">
      <c r="A256" s="8" t="s">
        <v>432</v>
      </c>
      <c r="B256" s="23">
        <v>46084</v>
      </c>
      <c r="C256" s="8" t="s">
        <v>99</v>
      </c>
      <c r="D256" s="8" t="s">
        <v>67</v>
      </c>
      <c r="E256" s="8" t="s">
        <v>152</v>
      </c>
      <c r="F256" s="8" t="s">
        <v>40</v>
      </c>
      <c r="G256" s="8" t="s">
        <v>69</v>
      </c>
      <c r="H256" s="8" t="s">
        <v>77</v>
      </c>
      <c r="I256" s="8" t="s">
        <v>78</v>
      </c>
      <c r="J256" s="8">
        <v>122</v>
      </c>
      <c r="K256" s="8">
        <v>59</v>
      </c>
      <c r="L256" s="8">
        <v>52</v>
      </c>
      <c r="M256" s="24">
        <v>3.5</v>
      </c>
      <c r="N256" s="15">
        <v>84000</v>
      </c>
      <c r="O256" s="15">
        <v>79300</v>
      </c>
      <c r="P256" s="8" t="s">
        <v>64</v>
      </c>
      <c r="Q256" s="8" t="s">
        <v>142</v>
      </c>
    </row>
    <row r="257" spans="1:17" ht="16" x14ac:dyDescent="0.45">
      <c r="A257" s="8" t="s">
        <v>433</v>
      </c>
      <c r="B257" s="23">
        <v>46085</v>
      </c>
      <c r="C257" s="8" t="s">
        <v>58</v>
      </c>
      <c r="D257" s="8" t="s">
        <v>120</v>
      </c>
      <c r="E257" s="8" t="s">
        <v>305</v>
      </c>
      <c r="F257" s="8" t="s">
        <v>41</v>
      </c>
      <c r="G257" s="8" t="s">
        <v>61</v>
      </c>
      <c r="H257" s="8" t="s">
        <v>62</v>
      </c>
      <c r="I257" s="8" t="s">
        <v>104</v>
      </c>
      <c r="J257" s="8">
        <v>29</v>
      </c>
      <c r="K257" s="8">
        <v>21</v>
      </c>
      <c r="L257" s="8">
        <v>19</v>
      </c>
      <c r="M257" s="24">
        <v>4.5</v>
      </c>
      <c r="N257" s="15">
        <v>81500</v>
      </c>
      <c r="O257" s="15">
        <v>83100</v>
      </c>
      <c r="P257" s="8" t="s">
        <v>64</v>
      </c>
      <c r="Q257" s="8" t="s">
        <v>434</v>
      </c>
    </row>
    <row r="258" spans="1:17" ht="16" x14ac:dyDescent="0.45">
      <c r="A258" s="8" t="s">
        <v>435</v>
      </c>
      <c r="B258" s="23">
        <v>46085</v>
      </c>
      <c r="C258" s="8" t="s">
        <v>58</v>
      </c>
      <c r="D258" s="8" t="s">
        <v>120</v>
      </c>
      <c r="E258" s="8" t="s">
        <v>126</v>
      </c>
      <c r="F258" s="8" t="s">
        <v>37</v>
      </c>
      <c r="G258" s="8" t="s">
        <v>89</v>
      </c>
      <c r="H258" s="8" t="s">
        <v>62</v>
      </c>
      <c r="I258" s="8" t="s">
        <v>71</v>
      </c>
      <c r="J258" s="8">
        <v>169</v>
      </c>
      <c r="K258" s="8">
        <v>134</v>
      </c>
      <c r="L258" s="8">
        <v>320</v>
      </c>
      <c r="M258" s="24">
        <v>4</v>
      </c>
      <c r="N258" s="15">
        <v>49000</v>
      </c>
      <c r="O258" s="15">
        <v>49700</v>
      </c>
      <c r="P258" s="8" t="s">
        <v>64</v>
      </c>
      <c r="Q258" s="8" t="s">
        <v>111</v>
      </c>
    </row>
    <row r="259" spans="1:17" ht="16" x14ac:dyDescent="0.45">
      <c r="A259" s="8" t="s">
        <v>436</v>
      </c>
      <c r="B259" s="23">
        <v>46086</v>
      </c>
      <c r="C259" s="8" t="s">
        <v>74</v>
      </c>
      <c r="D259" s="8" t="s">
        <v>75</v>
      </c>
      <c r="E259" s="8" t="s">
        <v>207</v>
      </c>
      <c r="F259" s="8" t="s">
        <v>37</v>
      </c>
      <c r="G259" s="8" t="s">
        <v>89</v>
      </c>
      <c r="H259" s="8" t="s">
        <v>62</v>
      </c>
      <c r="I259" s="8" t="s">
        <v>117</v>
      </c>
      <c r="J259" s="8">
        <v>160</v>
      </c>
      <c r="K259" s="8">
        <v>115</v>
      </c>
      <c r="L259" s="8">
        <v>244</v>
      </c>
      <c r="M259" s="24">
        <v>4</v>
      </c>
      <c r="N259" s="15">
        <v>18000</v>
      </c>
      <c r="O259" s="15">
        <v>18900</v>
      </c>
      <c r="P259" s="8" t="s">
        <v>64</v>
      </c>
      <c r="Q259" s="8" t="s">
        <v>93</v>
      </c>
    </row>
    <row r="260" spans="1:17" ht="16" x14ac:dyDescent="0.45">
      <c r="A260" s="8" t="s">
        <v>437</v>
      </c>
      <c r="B260" s="23">
        <v>46089</v>
      </c>
      <c r="C260" s="8" t="s">
        <v>145</v>
      </c>
      <c r="D260" s="8" t="s">
        <v>59</v>
      </c>
      <c r="E260" s="8" t="s">
        <v>161</v>
      </c>
      <c r="F260" s="8" t="s">
        <v>36</v>
      </c>
      <c r="G260" s="8" t="s">
        <v>108</v>
      </c>
      <c r="H260" s="8" t="s">
        <v>167</v>
      </c>
      <c r="I260" s="8" t="s">
        <v>71</v>
      </c>
      <c r="J260" s="8">
        <v>82</v>
      </c>
      <c r="K260" s="8">
        <v>57</v>
      </c>
      <c r="L260" s="8">
        <v>16</v>
      </c>
      <c r="M260" s="24">
        <v>4.5999999999999996</v>
      </c>
      <c r="N260" s="15">
        <v>50500</v>
      </c>
      <c r="O260" s="15">
        <v>61000</v>
      </c>
      <c r="P260" s="8" t="s">
        <v>64</v>
      </c>
      <c r="Q260" s="8" t="s">
        <v>111</v>
      </c>
    </row>
    <row r="261" spans="1:17" ht="16" x14ac:dyDescent="0.45">
      <c r="A261" s="8" t="s">
        <v>438</v>
      </c>
      <c r="B261" s="23">
        <v>46094</v>
      </c>
      <c r="C261" s="8" t="s">
        <v>113</v>
      </c>
      <c r="D261" s="8" t="s">
        <v>75</v>
      </c>
      <c r="E261" s="8" t="s">
        <v>95</v>
      </c>
      <c r="F261" s="8" t="s">
        <v>40</v>
      </c>
      <c r="G261" s="8" t="s">
        <v>69</v>
      </c>
      <c r="H261" s="8" t="s">
        <v>77</v>
      </c>
      <c r="I261" s="8" t="s">
        <v>78</v>
      </c>
      <c r="J261" s="8">
        <v>266</v>
      </c>
      <c r="K261" s="8">
        <v>138</v>
      </c>
      <c r="L261" s="8">
        <v>28</v>
      </c>
      <c r="M261" s="24">
        <v>3.7</v>
      </c>
      <c r="N261" s="15">
        <v>59500</v>
      </c>
      <c r="O261" s="15">
        <v>52600</v>
      </c>
      <c r="P261" s="8" t="s">
        <v>64</v>
      </c>
      <c r="Q261" s="8" t="s">
        <v>65</v>
      </c>
    </row>
    <row r="262" spans="1:17" ht="16" x14ac:dyDescent="0.45">
      <c r="A262" s="8" t="s">
        <v>439</v>
      </c>
      <c r="B262" s="23">
        <v>46095</v>
      </c>
      <c r="C262" s="8" t="s">
        <v>81</v>
      </c>
      <c r="D262" s="8" t="s">
        <v>59</v>
      </c>
      <c r="E262" s="8" t="s">
        <v>107</v>
      </c>
      <c r="F262" s="8" t="s">
        <v>36</v>
      </c>
      <c r="G262" s="8" t="s">
        <v>108</v>
      </c>
      <c r="H262" s="8" t="s">
        <v>77</v>
      </c>
      <c r="I262" s="8" t="s">
        <v>78</v>
      </c>
      <c r="J262" s="8">
        <v>180</v>
      </c>
      <c r="K262" s="8">
        <v>78</v>
      </c>
      <c r="L262" s="8">
        <v>59</v>
      </c>
      <c r="M262" s="24">
        <v>3.8</v>
      </c>
      <c r="N262" s="15">
        <v>8000</v>
      </c>
      <c r="O262" s="15">
        <v>11500</v>
      </c>
      <c r="P262" s="8" t="s">
        <v>64</v>
      </c>
      <c r="Q262" s="8" t="s">
        <v>189</v>
      </c>
    </row>
    <row r="263" spans="1:17" ht="16" x14ac:dyDescent="0.45">
      <c r="A263" s="8" t="s">
        <v>440</v>
      </c>
      <c r="B263" s="23">
        <v>46095</v>
      </c>
      <c r="C263" s="8" t="s">
        <v>81</v>
      </c>
      <c r="D263" s="8" t="s">
        <v>59</v>
      </c>
      <c r="E263" s="8" t="s">
        <v>68</v>
      </c>
      <c r="F263" s="8" t="s">
        <v>40</v>
      </c>
      <c r="G263" s="8" t="s">
        <v>69</v>
      </c>
      <c r="H263" s="8" t="s">
        <v>77</v>
      </c>
      <c r="I263" s="8" t="s">
        <v>78</v>
      </c>
      <c r="J263" s="8">
        <v>141</v>
      </c>
      <c r="K263" s="8">
        <v>74</v>
      </c>
      <c r="L263" s="8">
        <v>46</v>
      </c>
      <c r="M263" s="24">
        <v>3.8</v>
      </c>
      <c r="N263" s="15">
        <v>28500</v>
      </c>
      <c r="O263" s="15">
        <v>22100</v>
      </c>
      <c r="P263" s="8" t="s">
        <v>64</v>
      </c>
      <c r="Q263" s="8" t="s">
        <v>181</v>
      </c>
    </row>
    <row r="264" spans="1:17" ht="16" x14ac:dyDescent="0.45">
      <c r="A264" s="8" t="s">
        <v>441</v>
      </c>
      <c r="B264" s="23">
        <v>46098</v>
      </c>
      <c r="C264" s="8" t="s">
        <v>99</v>
      </c>
      <c r="D264" s="8" t="s">
        <v>59</v>
      </c>
      <c r="E264" s="8" t="s">
        <v>132</v>
      </c>
      <c r="F264" s="8" t="s">
        <v>37</v>
      </c>
      <c r="G264" s="8" t="s">
        <v>89</v>
      </c>
      <c r="H264" s="8" t="s">
        <v>62</v>
      </c>
      <c r="I264" s="8" t="s">
        <v>71</v>
      </c>
      <c r="J264" s="8">
        <v>165</v>
      </c>
      <c r="K264" s="8">
        <v>173</v>
      </c>
      <c r="L264" s="8">
        <v>135</v>
      </c>
      <c r="M264" s="24">
        <v>4.7</v>
      </c>
      <c r="N264" s="15">
        <v>59000</v>
      </c>
      <c r="O264" s="15">
        <v>63100</v>
      </c>
      <c r="P264" s="8" t="s">
        <v>64</v>
      </c>
      <c r="Q264" s="8" t="s">
        <v>331</v>
      </c>
    </row>
    <row r="265" spans="1:17" ht="16" x14ac:dyDescent="0.45">
      <c r="A265" s="8" t="s">
        <v>442</v>
      </c>
      <c r="B265" s="23">
        <v>46098</v>
      </c>
      <c r="C265" s="8" t="s">
        <v>99</v>
      </c>
      <c r="D265" s="8" t="s">
        <v>120</v>
      </c>
      <c r="E265" s="8" t="s">
        <v>247</v>
      </c>
      <c r="F265" s="8" t="s">
        <v>36</v>
      </c>
      <c r="G265" s="8" t="s">
        <v>108</v>
      </c>
      <c r="H265" s="8" t="s">
        <v>62</v>
      </c>
      <c r="I265" s="8" t="s">
        <v>71</v>
      </c>
      <c r="J265" s="8">
        <v>161</v>
      </c>
      <c r="K265" s="8">
        <v>136</v>
      </c>
      <c r="L265" s="8">
        <v>53</v>
      </c>
      <c r="M265" s="24">
        <v>4.8</v>
      </c>
      <c r="N265" s="15">
        <v>59500</v>
      </c>
      <c r="O265" s="15">
        <v>66600</v>
      </c>
      <c r="P265" s="8" t="s">
        <v>64</v>
      </c>
      <c r="Q265" s="8" t="s">
        <v>383</v>
      </c>
    </row>
    <row r="266" spans="1:17" ht="16" x14ac:dyDescent="0.45">
      <c r="A266" s="8" t="s">
        <v>443</v>
      </c>
      <c r="B266" s="23">
        <v>46099</v>
      </c>
      <c r="C266" s="8" t="s">
        <v>58</v>
      </c>
      <c r="D266" s="8" t="s">
        <v>75</v>
      </c>
      <c r="E266" s="8" t="s">
        <v>212</v>
      </c>
      <c r="F266" s="8" t="s">
        <v>41</v>
      </c>
      <c r="G266" s="8" t="s">
        <v>61</v>
      </c>
      <c r="H266" s="8" t="s">
        <v>62</v>
      </c>
      <c r="I266" s="8" t="s">
        <v>117</v>
      </c>
      <c r="J266" s="8">
        <v>52</v>
      </c>
      <c r="K266" s="8">
        <v>36</v>
      </c>
      <c r="L266" s="8">
        <v>45</v>
      </c>
      <c r="M266" s="24">
        <v>4.5</v>
      </c>
      <c r="N266" s="15">
        <v>55000</v>
      </c>
      <c r="O266" s="15">
        <v>46000</v>
      </c>
      <c r="P266" s="8" t="s">
        <v>64</v>
      </c>
      <c r="Q266" s="8" t="s">
        <v>403</v>
      </c>
    </row>
    <row r="267" spans="1:17" ht="16" x14ac:dyDescent="0.45">
      <c r="A267" s="8" t="s">
        <v>444</v>
      </c>
      <c r="B267" s="23">
        <v>46101</v>
      </c>
      <c r="C267" s="8" t="s">
        <v>113</v>
      </c>
      <c r="D267" s="8" t="s">
        <v>75</v>
      </c>
      <c r="E267" s="8" t="s">
        <v>165</v>
      </c>
      <c r="F267" s="8" t="s">
        <v>38</v>
      </c>
      <c r="G267" s="8" t="s">
        <v>101</v>
      </c>
      <c r="H267" s="8" t="s">
        <v>62</v>
      </c>
      <c r="I267" s="8" t="s">
        <v>85</v>
      </c>
      <c r="J267" s="8">
        <v>108</v>
      </c>
      <c r="K267" s="8">
        <v>91</v>
      </c>
      <c r="L267" s="8">
        <v>49</v>
      </c>
      <c r="M267" s="24">
        <v>3.8</v>
      </c>
      <c r="N267" s="15">
        <v>55000</v>
      </c>
      <c r="O267" s="15">
        <v>56700</v>
      </c>
      <c r="P267" s="8" t="s">
        <v>64</v>
      </c>
      <c r="Q267" s="8" t="s">
        <v>277</v>
      </c>
    </row>
    <row r="268" spans="1:17" ht="16" x14ac:dyDescent="0.45">
      <c r="A268" s="8" t="s">
        <v>445</v>
      </c>
      <c r="B268" s="23">
        <v>46103</v>
      </c>
      <c r="C268" s="8" t="s">
        <v>145</v>
      </c>
      <c r="D268" s="8" t="s">
        <v>59</v>
      </c>
      <c r="E268" s="8" t="s">
        <v>103</v>
      </c>
      <c r="F268" s="8" t="s">
        <v>37</v>
      </c>
      <c r="G268" s="8" t="s">
        <v>89</v>
      </c>
      <c r="H268" s="8" t="s">
        <v>62</v>
      </c>
      <c r="I268" s="8" t="s">
        <v>71</v>
      </c>
      <c r="J268" s="8">
        <v>96</v>
      </c>
      <c r="K268" s="8">
        <v>75</v>
      </c>
      <c r="L268" s="8">
        <v>84</v>
      </c>
      <c r="M268" s="24">
        <v>4.4000000000000004</v>
      </c>
      <c r="N268" s="15">
        <v>66000</v>
      </c>
      <c r="O268" s="15">
        <v>56600</v>
      </c>
      <c r="P268" s="8" t="s">
        <v>64</v>
      </c>
      <c r="Q268" s="8" t="s">
        <v>86</v>
      </c>
    </row>
    <row r="269" spans="1:17" ht="16" x14ac:dyDescent="0.45">
      <c r="A269" s="8" t="s">
        <v>446</v>
      </c>
      <c r="B269" s="23">
        <v>46103</v>
      </c>
      <c r="C269" s="8" t="s">
        <v>145</v>
      </c>
      <c r="D269" s="8" t="s">
        <v>59</v>
      </c>
      <c r="E269" s="8" t="s">
        <v>107</v>
      </c>
      <c r="F269" s="8" t="s">
        <v>36</v>
      </c>
      <c r="G269" s="8" t="s">
        <v>108</v>
      </c>
      <c r="H269" s="8" t="s">
        <v>77</v>
      </c>
      <c r="I269" s="8" t="s">
        <v>78</v>
      </c>
      <c r="J269" s="8">
        <v>188</v>
      </c>
      <c r="K269" s="8">
        <v>107</v>
      </c>
      <c r="L269" s="8">
        <v>25</v>
      </c>
      <c r="M269" s="24">
        <v>4</v>
      </c>
      <c r="N269" s="15">
        <v>83000</v>
      </c>
      <c r="O269" s="15">
        <v>85300</v>
      </c>
      <c r="P269" s="8" t="s">
        <v>64</v>
      </c>
      <c r="Q269" s="8" t="s">
        <v>137</v>
      </c>
    </row>
    <row r="270" spans="1:17" ht="16" x14ac:dyDescent="0.45">
      <c r="A270" s="8" t="s">
        <v>447</v>
      </c>
      <c r="B270" s="23">
        <v>46110</v>
      </c>
      <c r="C270" s="8" t="s">
        <v>145</v>
      </c>
      <c r="D270" s="8" t="s">
        <v>59</v>
      </c>
      <c r="E270" s="8" t="s">
        <v>129</v>
      </c>
      <c r="F270" s="8" t="s">
        <v>40</v>
      </c>
      <c r="G270" s="8" t="s">
        <v>69</v>
      </c>
      <c r="H270" s="8" t="s">
        <v>77</v>
      </c>
      <c r="I270" s="8" t="s">
        <v>78</v>
      </c>
      <c r="J270" s="8">
        <v>104</v>
      </c>
      <c r="K270" s="8">
        <v>62</v>
      </c>
      <c r="L270" s="8">
        <v>16</v>
      </c>
      <c r="M270" s="24">
        <v>3.4</v>
      </c>
      <c r="N270" s="15">
        <v>11500</v>
      </c>
      <c r="O270" s="15">
        <v>11100</v>
      </c>
      <c r="P270" s="8" t="s">
        <v>64</v>
      </c>
      <c r="Q270" s="8" t="s">
        <v>93</v>
      </c>
    </row>
    <row r="271" spans="1:17" ht="16" x14ac:dyDescent="0.45">
      <c r="A271" s="8" t="s">
        <v>448</v>
      </c>
      <c r="B271" s="23">
        <v>46113</v>
      </c>
      <c r="C271" s="8" t="s">
        <v>58</v>
      </c>
      <c r="D271" s="8" t="s">
        <v>67</v>
      </c>
      <c r="E271" s="8" t="s">
        <v>82</v>
      </c>
      <c r="F271" s="8" t="s">
        <v>39</v>
      </c>
      <c r="G271" s="8" t="s">
        <v>83</v>
      </c>
      <c r="H271" s="8" t="s">
        <v>183</v>
      </c>
      <c r="I271" s="8" t="s">
        <v>63</v>
      </c>
      <c r="J271" s="8">
        <v>139</v>
      </c>
      <c r="K271" s="8">
        <v>108</v>
      </c>
      <c r="L271" s="8">
        <v>22</v>
      </c>
      <c r="M271" s="24">
        <v>4</v>
      </c>
      <c r="N271" s="15">
        <v>54500</v>
      </c>
      <c r="O271" s="15">
        <v>53500</v>
      </c>
      <c r="P271" s="8" t="s">
        <v>64</v>
      </c>
      <c r="Q271" s="8" t="s">
        <v>118</v>
      </c>
    </row>
    <row r="272" spans="1:17" ht="16" x14ac:dyDescent="0.45">
      <c r="A272" s="8" t="s">
        <v>449</v>
      </c>
      <c r="B272" s="23">
        <v>46114</v>
      </c>
      <c r="C272" s="8" t="s">
        <v>74</v>
      </c>
      <c r="D272" s="8" t="s">
        <v>75</v>
      </c>
      <c r="E272" s="8" t="s">
        <v>76</v>
      </c>
      <c r="F272" s="8" t="s">
        <v>40</v>
      </c>
      <c r="G272" s="8" t="s">
        <v>69</v>
      </c>
      <c r="H272" s="8" t="s">
        <v>62</v>
      </c>
      <c r="I272" s="8" t="s">
        <v>117</v>
      </c>
      <c r="J272" s="8">
        <v>67</v>
      </c>
      <c r="K272" s="8">
        <v>50</v>
      </c>
      <c r="L272" s="8">
        <v>38</v>
      </c>
      <c r="M272" s="24">
        <v>4.5999999999999996</v>
      </c>
      <c r="N272" s="15">
        <v>45500</v>
      </c>
      <c r="O272" s="15">
        <v>47900</v>
      </c>
      <c r="P272" s="8" t="s">
        <v>64</v>
      </c>
      <c r="Q272" s="8" t="s">
        <v>127</v>
      </c>
    </row>
    <row r="273" spans="1:17" ht="16" x14ac:dyDescent="0.45">
      <c r="A273" s="8" t="s">
        <v>450</v>
      </c>
      <c r="B273" s="23">
        <v>46114</v>
      </c>
      <c r="C273" s="8" t="s">
        <v>74</v>
      </c>
      <c r="D273" s="8" t="s">
        <v>75</v>
      </c>
      <c r="E273" s="8" t="s">
        <v>161</v>
      </c>
      <c r="F273" s="8" t="s">
        <v>36</v>
      </c>
      <c r="G273" s="8" t="s">
        <v>108</v>
      </c>
      <c r="H273" s="8" t="s">
        <v>77</v>
      </c>
      <c r="I273" s="8" t="s">
        <v>78</v>
      </c>
      <c r="J273" s="8">
        <v>256</v>
      </c>
      <c r="K273" s="8">
        <v>130</v>
      </c>
      <c r="L273" s="8">
        <v>103</v>
      </c>
      <c r="M273" s="24">
        <v>3.8</v>
      </c>
      <c r="N273" s="15">
        <v>74500</v>
      </c>
      <c r="O273" s="15">
        <v>92600</v>
      </c>
      <c r="P273" s="8" t="s">
        <v>64</v>
      </c>
      <c r="Q273" s="8" t="s">
        <v>118</v>
      </c>
    </row>
    <row r="274" spans="1:17" ht="16" x14ac:dyDescent="0.45">
      <c r="A274" s="8" t="s">
        <v>451</v>
      </c>
      <c r="B274" s="23">
        <v>46116</v>
      </c>
      <c r="C274" s="8" t="s">
        <v>81</v>
      </c>
      <c r="D274" s="8" t="s">
        <v>59</v>
      </c>
      <c r="E274" s="8" t="s">
        <v>100</v>
      </c>
      <c r="F274" s="8" t="s">
        <v>38</v>
      </c>
      <c r="G274" s="8" t="s">
        <v>101</v>
      </c>
      <c r="H274" s="8" t="s">
        <v>84</v>
      </c>
      <c r="I274" s="8" t="s">
        <v>85</v>
      </c>
      <c r="J274" s="8">
        <v>38</v>
      </c>
      <c r="K274" s="8">
        <v>21</v>
      </c>
      <c r="L274" s="8">
        <v>12</v>
      </c>
      <c r="M274" s="24">
        <v>4</v>
      </c>
      <c r="N274" s="15">
        <v>52000</v>
      </c>
      <c r="O274" s="15">
        <v>46600</v>
      </c>
      <c r="P274" s="8" t="s">
        <v>64</v>
      </c>
      <c r="Q274" s="8" t="s">
        <v>142</v>
      </c>
    </row>
    <row r="275" spans="1:17" ht="16" x14ac:dyDescent="0.45">
      <c r="A275" s="8" t="s">
        <v>452</v>
      </c>
      <c r="B275" s="23">
        <v>46123</v>
      </c>
      <c r="C275" s="8" t="s">
        <v>81</v>
      </c>
      <c r="D275" s="8" t="s">
        <v>59</v>
      </c>
      <c r="E275" s="8" t="s">
        <v>163</v>
      </c>
      <c r="F275" s="8" t="s">
        <v>36</v>
      </c>
      <c r="G275" s="8" t="s">
        <v>108</v>
      </c>
      <c r="H275" s="8" t="s">
        <v>70</v>
      </c>
      <c r="I275" s="8" t="s">
        <v>71</v>
      </c>
      <c r="J275" s="8">
        <v>58</v>
      </c>
      <c r="K275" s="8">
        <v>37</v>
      </c>
      <c r="L275" s="8">
        <v>20</v>
      </c>
      <c r="M275" s="24">
        <v>4.9000000000000004</v>
      </c>
      <c r="N275" s="15">
        <v>71000</v>
      </c>
      <c r="O275" s="15">
        <v>86700</v>
      </c>
      <c r="P275" s="8" t="s">
        <v>64</v>
      </c>
      <c r="Q275" s="8" t="s">
        <v>111</v>
      </c>
    </row>
    <row r="276" spans="1:17" ht="16" x14ac:dyDescent="0.45">
      <c r="A276" s="8" t="s">
        <v>453</v>
      </c>
      <c r="B276" s="23">
        <v>46123</v>
      </c>
      <c r="C276" s="8" t="s">
        <v>81</v>
      </c>
      <c r="D276" s="8" t="s">
        <v>59</v>
      </c>
      <c r="E276" s="8" t="s">
        <v>95</v>
      </c>
      <c r="F276" s="8" t="s">
        <v>40</v>
      </c>
      <c r="G276" s="8" t="s">
        <v>69</v>
      </c>
      <c r="H276" s="8" t="s">
        <v>77</v>
      </c>
      <c r="I276" s="8" t="s">
        <v>78</v>
      </c>
      <c r="J276" s="8">
        <v>237</v>
      </c>
      <c r="K276" s="8">
        <v>139</v>
      </c>
      <c r="L276" s="8">
        <v>109</v>
      </c>
      <c r="M276" s="24">
        <v>3.9</v>
      </c>
      <c r="N276" s="15">
        <v>46500</v>
      </c>
      <c r="O276" s="15">
        <v>48500</v>
      </c>
      <c r="P276" s="8" t="s">
        <v>64</v>
      </c>
      <c r="Q276" s="8" t="s">
        <v>86</v>
      </c>
    </row>
    <row r="277" spans="1:17" ht="16" x14ac:dyDescent="0.45">
      <c r="A277" s="8" t="s">
        <v>454</v>
      </c>
      <c r="B277" s="23">
        <v>46124</v>
      </c>
      <c r="C277" s="8" t="s">
        <v>145</v>
      </c>
      <c r="D277" s="8" t="s">
        <v>59</v>
      </c>
      <c r="E277" s="8" t="s">
        <v>132</v>
      </c>
      <c r="F277" s="8" t="s">
        <v>37</v>
      </c>
      <c r="G277" s="8" t="s">
        <v>89</v>
      </c>
      <c r="H277" s="8" t="s">
        <v>62</v>
      </c>
      <c r="I277" s="8" t="s">
        <v>117</v>
      </c>
      <c r="J277" s="8">
        <v>53</v>
      </c>
      <c r="K277" s="8">
        <v>30</v>
      </c>
      <c r="L277" s="8">
        <v>31</v>
      </c>
      <c r="M277" s="24">
        <v>4.0999999999999996</v>
      </c>
      <c r="N277" s="15">
        <v>38000</v>
      </c>
      <c r="O277" s="15">
        <v>39400</v>
      </c>
      <c r="P277" s="8" t="s">
        <v>64</v>
      </c>
      <c r="Q277" s="8" t="s">
        <v>399</v>
      </c>
    </row>
    <row r="278" spans="1:17" ht="16" x14ac:dyDescent="0.45">
      <c r="A278" s="8" t="s">
        <v>455</v>
      </c>
      <c r="B278" s="23">
        <v>46126</v>
      </c>
      <c r="C278" s="8" t="s">
        <v>99</v>
      </c>
      <c r="D278" s="8" t="s">
        <v>59</v>
      </c>
      <c r="E278" s="8" t="s">
        <v>116</v>
      </c>
      <c r="F278" s="8" t="s">
        <v>39</v>
      </c>
      <c r="G278" s="8" t="s">
        <v>83</v>
      </c>
      <c r="H278" s="8" t="s">
        <v>62</v>
      </c>
      <c r="I278" s="8" t="s">
        <v>104</v>
      </c>
      <c r="J278" s="8">
        <v>93</v>
      </c>
      <c r="K278" s="8">
        <v>63</v>
      </c>
      <c r="L278" s="8">
        <v>52</v>
      </c>
      <c r="M278" s="24">
        <v>4.5</v>
      </c>
      <c r="N278" s="15">
        <v>29500</v>
      </c>
      <c r="O278" s="15">
        <v>29100</v>
      </c>
      <c r="P278" s="8" t="s">
        <v>64</v>
      </c>
      <c r="Q278" s="8" t="s">
        <v>234</v>
      </c>
    </row>
    <row r="279" spans="1:17" ht="16" x14ac:dyDescent="0.45">
      <c r="A279" s="8" t="s">
        <v>456</v>
      </c>
      <c r="B279" s="23">
        <v>46127</v>
      </c>
      <c r="C279" s="8" t="s">
        <v>58</v>
      </c>
      <c r="D279" s="8" t="s">
        <v>59</v>
      </c>
      <c r="E279" s="8" t="s">
        <v>177</v>
      </c>
      <c r="F279" s="8" t="s">
        <v>39</v>
      </c>
      <c r="G279" s="8" t="s">
        <v>83</v>
      </c>
      <c r="H279" s="8" t="s">
        <v>156</v>
      </c>
      <c r="I279" s="8" t="s">
        <v>85</v>
      </c>
      <c r="J279" s="8">
        <v>145</v>
      </c>
      <c r="K279" s="8">
        <v>96</v>
      </c>
      <c r="L279" s="8">
        <v>21</v>
      </c>
      <c r="M279" s="24">
        <v>3.9</v>
      </c>
      <c r="N279" s="15">
        <v>10500</v>
      </c>
      <c r="O279" s="15">
        <v>10200</v>
      </c>
      <c r="P279" s="8" t="s">
        <v>64</v>
      </c>
      <c r="Q279" s="8" t="s">
        <v>137</v>
      </c>
    </row>
    <row r="280" spans="1:17" ht="16" x14ac:dyDescent="0.45">
      <c r="A280" s="8" t="s">
        <v>457</v>
      </c>
      <c r="B280" s="23">
        <v>46135</v>
      </c>
      <c r="C280" s="8" t="s">
        <v>74</v>
      </c>
      <c r="D280" s="8" t="s">
        <v>120</v>
      </c>
      <c r="E280" s="8" t="s">
        <v>152</v>
      </c>
      <c r="F280" s="8" t="s">
        <v>40</v>
      </c>
      <c r="G280" s="8" t="s">
        <v>69</v>
      </c>
      <c r="H280" s="8" t="s">
        <v>62</v>
      </c>
      <c r="I280" s="8" t="s">
        <v>117</v>
      </c>
      <c r="J280" s="8">
        <v>58</v>
      </c>
      <c r="K280" s="8">
        <v>45</v>
      </c>
      <c r="L280" s="8">
        <v>9</v>
      </c>
      <c r="M280" s="24">
        <v>4.2</v>
      </c>
      <c r="N280" s="15">
        <v>47500</v>
      </c>
      <c r="O280" s="15">
        <v>46300</v>
      </c>
      <c r="P280" s="8" t="s">
        <v>64</v>
      </c>
      <c r="Q280" s="8" t="s">
        <v>239</v>
      </c>
    </row>
    <row r="281" spans="1:17" ht="16" x14ac:dyDescent="0.45">
      <c r="A281" s="8" t="s">
        <v>458</v>
      </c>
      <c r="B281" s="23">
        <v>46138</v>
      </c>
      <c r="C281" s="8" t="s">
        <v>145</v>
      </c>
      <c r="D281" s="8" t="s">
        <v>59</v>
      </c>
      <c r="E281" s="8" t="s">
        <v>103</v>
      </c>
      <c r="F281" s="8" t="s">
        <v>37</v>
      </c>
      <c r="G281" s="8" t="s">
        <v>89</v>
      </c>
      <c r="H281" s="8" t="s">
        <v>62</v>
      </c>
      <c r="I281" s="8" t="s">
        <v>117</v>
      </c>
      <c r="J281" s="8">
        <v>150</v>
      </c>
      <c r="K281" s="8">
        <v>118</v>
      </c>
      <c r="L281" s="8">
        <v>83</v>
      </c>
      <c r="M281" s="24">
        <v>4.4000000000000004</v>
      </c>
      <c r="N281" s="15">
        <v>30000</v>
      </c>
      <c r="O281" s="15">
        <v>28000</v>
      </c>
      <c r="P281" s="8" t="s">
        <v>64</v>
      </c>
      <c r="Q281" s="8" t="s">
        <v>390</v>
      </c>
    </row>
    <row r="282" spans="1:17" ht="16" x14ac:dyDescent="0.45">
      <c r="A282" s="8" t="s">
        <v>459</v>
      </c>
      <c r="B282" s="23">
        <v>46139</v>
      </c>
      <c r="C282" s="8" t="s">
        <v>170</v>
      </c>
      <c r="D282" s="8" t="s">
        <v>67</v>
      </c>
      <c r="E282" s="8" t="s">
        <v>152</v>
      </c>
      <c r="F282" s="8" t="s">
        <v>40</v>
      </c>
      <c r="G282" s="8" t="s">
        <v>69</v>
      </c>
      <c r="H282" s="8" t="s">
        <v>77</v>
      </c>
      <c r="I282" s="8" t="s">
        <v>78</v>
      </c>
      <c r="J282" s="8">
        <v>147</v>
      </c>
      <c r="K282" s="8">
        <v>89</v>
      </c>
      <c r="L282" s="8">
        <v>66</v>
      </c>
      <c r="M282" s="24"/>
      <c r="N282" s="15">
        <v>29000</v>
      </c>
      <c r="O282" s="15">
        <v>25300</v>
      </c>
      <c r="P282" s="8" t="s">
        <v>64</v>
      </c>
      <c r="Q282" s="8" t="s">
        <v>97</v>
      </c>
    </row>
    <row r="283" spans="1:17" ht="16" x14ac:dyDescent="0.45">
      <c r="A283" s="8" t="s">
        <v>460</v>
      </c>
      <c r="B283" s="23">
        <v>46140</v>
      </c>
      <c r="C283" s="8" t="s">
        <v>99</v>
      </c>
      <c r="D283" s="8" t="s">
        <v>120</v>
      </c>
      <c r="E283" s="8" t="s">
        <v>163</v>
      </c>
      <c r="F283" s="8" t="s">
        <v>36</v>
      </c>
      <c r="G283" s="8" t="s">
        <v>108</v>
      </c>
      <c r="H283" s="8" t="s">
        <v>62</v>
      </c>
      <c r="I283" s="8" t="s">
        <v>71</v>
      </c>
      <c r="J283" s="8">
        <v>90</v>
      </c>
      <c r="K283" s="8">
        <v>73</v>
      </c>
      <c r="L283" s="8">
        <v>34</v>
      </c>
      <c r="M283" s="24">
        <v>5</v>
      </c>
      <c r="N283" s="15">
        <v>72000</v>
      </c>
      <c r="O283" s="15">
        <v>89400</v>
      </c>
      <c r="P283" s="8" t="s">
        <v>64</v>
      </c>
      <c r="Q283" s="8" t="s">
        <v>331</v>
      </c>
    </row>
    <row r="284" spans="1:17" ht="16" x14ac:dyDescent="0.45">
      <c r="A284" s="8" t="s">
        <v>461</v>
      </c>
      <c r="B284" s="23">
        <v>46141</v>
      </c>
      <c r="C284" s="8" t="s">
        <v>58</v>
      </c>
      <c r="D284" s="8" t="s">
        <v>75</v>
      </c>
      <c r="E284" s="8" t="s">
        <v>177</v>
      </c>
      <c r="F284" s="8" t="s">
        <v>39</v>
      </c>
      <c r="G284" s="8" t="s">
        <v>83</v>
      </c>
      <c r="H284" s="8" t="s">
        <v>84</v>
      </c>
      <c r="I284" s="8" t="s">
        <v>85</v>
      </c>
      <c r="J284" s="8">
        <v>119</v>
      </c>
      <c r="K284" s="8">
        <v>86</v>
      </c>
      <c r="L284" s="8">
        <v>19</v>
      </c>
      <c r="M284" s="24">
        <v>4.3</v>
      </c>
      <c r="N284" s="15">
        <v>32000</v>
      </c>
      <c r="O284" s="15">
        <v>26800</v>
      </c>
      <c r="P284" s="8" t="s">
        <v>64</v>
      </c>
      <c r="Q284" s="8" t="s">
        <v>234</v>
      </c>
    </row>
    <row r="285" spans="1:17" ht="16" x14ac:dyDescent="0.45">
      <c r="A285" s="8" t="s">
        <v>462</v>
      </c>
      <c r="B285" s="23">
        <v>46143</v>
      </c>
      <c r="C285" s="8" t="s">
        <v>113</v>
      </c>
      <c r="D285" s="8" t="s">
        <v>67</v>
      </c>
      <c r="E285" s="8" t="s">
        <v>103</v>
      </c>
      <c r="F285" s="8" t="s">
        <v>37</v>
      </c>
      <c r="G285" s="8" t="s">
        <v>89</v>
      </c>
      <c r="H285" s="8" t="s">
        <v>77</v>
      </c>
      <c r="I285" s="8" t="s">
        <v>78</v>
      </c>
      <c r="J285" s="8">
        <v>125</v>
      </c>
      <c r="K285" s="8">
        <v>80</v>
      </c>
      <c r="L285" s="8">
        <v>164</v>
      </c>
      <c r="M285" s="24">
        <v>3.7</v>
      </c>
      <c r="N285" s="15">
        <v>53500</v>
      </c>
      <c r="O285" s="15">
        <v>48100</v>
      </c>
      <c r="P285" s="8" t="s">
        <v>64</v>
      </c>
      <c r="Q285" s="8" t="s">
        <v>140</v>
      </c>
    </row>
    <row r="286" spans="1:17" ht="16" x14ac:dyDescent="0.45">
      <c r="A286" s="8" t="s">
        <v>463</v>
      </c>
      <c r="B286" s="23">
        <v>46144</v>
      </c>
      <c r="C286" s="8" t="s">
        <v>81</v>
      </c>
      <c r="D286" s="8" t="s">
        <v>59</v>
      </c>
      <c r="E286" s="8" t="s">
        <v>68</v>
      </c>
      <c r="F286" s="8" t="s">
        <v>40</v>
      </c>
      <c r="G286" s="8" t="s">
        <v>69</v>
      </c>
      <c r="H286" s="8" t="s">
        <v>84</v>
      </c>
      <c r="I286" s="8" t="s">
        <v>85</v>
      </c>
      <c r="J286" s="8">
        <v>28</v>
      </c>
      <c r="K286" s="8">
        <v>18</v>
      </c>
      <c r="L286" s="8">
        <v>14</v>
      </c>
      <c r="M286" s="24">
        <v>3.7</v>
      </c>
      <c r="N286" s="15">
        <v>65500</v>
      </c>
      <c r="O286" s="15">
        <v>63300</v>
      </c>
      <c r="P286" s="8" t="s">
        <v>64</v>
      </c>
      <c r="Q286" s="8" t="s">
        <v>93</v>
      </c>
    </row>
    <row r="287" spans="1:17" ht="16" x14ac:dyDescent="0.45">
      <c r="A287" s="8" t="s">
        <v>464</v>
      </c>
      <c r="B287" s="23">
        <v>46145</v>
      </c>
      <c r="C287" s="8" t="s">
        <v>145</v>
      </c>
      <c r="D287" s="8" t="s">
        <v>59</v>
      </c>
      <c r="E287" s="8" t="s">
        <v>126</v>
      </c>
      <c r="F287" s="8" t="s">
        <v>37</v>
      </c>
      <c r="G287" s="8" t="s">
        <v>89</v>
      </c>
      <c r="H287" s="8" t="s">
        <v>62</v>
      </c>
      <c r="I287" s="8" t="s">
        <v>104</v>
      </c>
      <c r="J287" s="8">
        <v>67</v>
      </c>
      <c r="K287" s="8">
        <v>48</v>
      </c>
      <c r="L287" s="8">
        <v>67</v>
      </c>
      <c r="M287" s="24">
        <v>4.0999999999999996</v>
      </c>
      <c r="N287" s="15">
        <v>14000</v>
      </c>
      <c r="O287" s="15">
        <v>10800</v>
      </c>
      <c r="P287" s="8" t="s">
        <v>64</v>
      </c>
      <c r="Q287" s="8" t="s">
        <v>142</v>
      </c>
    </row>
    <row r="288" spans="1:17" ht="16" x14ac:dyDescent="0.45">
      <c r="A288" s="8" t="s">
        <v>465</v>
      </c>
      <c r="B288" s="23">
        <v>46146</v>
      </c>
      <c r="C288" s="8" t="s">
        <v>170</v>
      </c>
      <c r="D288" s="8" t="s">
        <v>75</v>
      </c>
      <c r="E288" s="8" t="s">
        <v>107</v>
      </c>
      <c r="F288" s="8" t="s">
        <v>36</v>
      </c>
      <c r="G288" s="8" t="s">
        <v>108</v>
      </c>
      <c r="H288" s="8" t="s">
        <v>62</v>
      </c>
      <c r="I288" s="8" t="s">
        <v>104</v>
      </c>
      <c r="J288" s="8">
        <v>138</v>
      </c>
      <c r="K288" s="8">
        <v>97</v>
      </c>
      <c r="L288" s="8">
        <v>62</v>
      </c>
      <c r="M288" s="24">
        <v>4.5</v>
      </c>
      <c r="N288" s="15">
        <v>10000</v>
      </c>
      <c r="O288" s="15">
        <v>13700</v>
      </c>
      <c r="P288" s="8" t="s">
        <v>64</v>
      </c>
      <c r="Q288" s="8" t="s">
        <v>466</v>
      </c>
    </row>
    <row r="289" spans="1:17" ht="16" x14ac:dyDescent="0.45">
      <c r="A289" s="8" t="s">
        <v>467</v>
      </c>
      <c r="B289" s="23">
        <v>46147</v>
      </c>
      <c r="C289" s="8" t="s">
        <v>99</v>
      </c>
      <c r="D289" s="8" t="s">
        <v>59</v>
      </c>
      <c r="E289" s="8" t="s">
        <v>172</v>
      </c>
      <c r="F289" s="8" t="s">
        <v>37</v>
      </c>
      <c r="G289" s="8" t="s">
        <v>89</v>
      </c>
      <c r="H289" s="8" t="s">
        <v>62</v>
      </c>
      <c r="I289" s="8" t="s">
        <v>63</v>
      </c>
      <c r="J289" s="8">
        <v>43</v>
      </c>
      <c r="K289" s="8">
        <v>28</v>
      </c>
      <c r="L289" s="8">
        <v>32</v>
      </c>
      <c r="M289" s="24">
        <v>4.0999999999999996</v>
      </c>
      <c r="N289" s="15">
        <v>86500</v>
      </c>
      <c r="O289" s="15">
        <v>88400</v>
      </c>
      <c r="P289" s="8" t="s">
        <v>64</v>
      </c>
      <c r="Q289" s="8" t="s">
        <v>65</v>
      </c>
    </row>
    <row r="290" spans="1:17" ht="16" x14ac:dyDescent="0.45">
      <c r="A290" s="8" t="s">
        <v>468</v>
      </c>
      <c r="B290" s="23">
        <v>46148</v>
      </c>
      <c r="C290" s="8" t="s">
        <v>58</v>
      </c>
      <c r="D290" s="8" t="s">
        <v>59</v>
      </c>
      <c r="E290" s="8" t="s">
        <v>88</v>
      </c>
      <c r="F290" s="8" t="s">
        <v>37</v>
      </c>
      <c r="G290" s="8" t="s">
        <v>89</v>
      </c>
      <c r="H290" s="8" t="s">
        <v>62</v>
      </c>
      <c r="I290" s="8" t="s">
        <v>104</v>
      </c>
      <c r="J290" s="8">
        <v>135</v>
      </c>
      <c r="K290" s="8">
        <v>103</v>
      </c>
      <c r="L290" s="8">
        <v>247</v>
      </c>
      <c r="M290" s="24">
        <v>4.4000000000000004</v>
      </c>
      <c r="N290" s="15">
        <v>55000</v>
      </c>
      <c r="O290" s="15">
        <v>49400</v>
      </c>
      <c r="P290" s="8" t="s">
        <v>64</v>
      </c>
      <c r="Q290" s="8" t="s">
        <v>118</v>
      </c>
    </row>
    <row r="291" spans="1:17" ht="16" x14ac:dyDescent="0.45">
      <c r="A291" s="8" t="s">
        <v>469</v>
      </c>
      <c r="B291" s="23">
        <v>46149</v>
      </c>
      <c r="C291" s="8" t="s">
        <v>74</v>
      </c>
      <c r="D291" s="8" t="s">
        <v>75</v>
      </c>
      <c r="E291" s="8" t="s">
        <v>68</v>
      </c>
      <c r="F291" s="8" t="s">
        <v>40</v>
      </c>
      <c r="G291" s="8" t="s">
        <v>69</v>
      </c>
      <c r="H291" s="8" t="s">
        <v>62</v>
      </c>
      <c r="I291" s="8" t="s">
        <v>85</v>
      </c>
      <c r="J291" s="8">
        <v>160</v>
      </c>
      <c r="K291" s="8">
        <v>123</v>
      </c>
      <c r="L291" s="8">
        <v>36</v>
      </c>
      <c r="M291" s="24">
        <v>3.9</v>
      </c>
      <c r="N291" s="15">
        <v>34000</v>
      </c>
      <c r="O291" s="15">
        <v>29500</v>
      </c>
      <c r="P291" s="8" t="s">
        <v>64</v>
      </c>
      <c r="Q291" s="8" t="s">
        <v>111</v>
      </c>
    </row>
    <row r="292" spans="1:17" ht="16" x14ac:dyDescent="0.45">
      <c r="A292" s="8" t="s">
        <v>470</v>
      </c>
      <c r="B292" s="23">
        <v>46157</v>
      </c>
      <c r="C292" s="8" t="s">
        <v>113</v>
      </c>
      <c r="D292" s="8" t="s">
        <v>67</v>
      </c>
      <c r="E292" s="8" t="s">
        <v>107</v>
      </c>
      <c r="F292" s="8" t="s">
        <v>36</v>
      </c>
      <c r="G292" s="8" t="s">
        <v>108</v>
      </c>
      <c r="H292" s="8" t="s">
        <v>183</v>
      </c>
      <c r="I292" s="8" t="s">
        <v>71</v>
      </c>
      <c r="J292" s="8">
        <v>110</v>
      </c>
      <c r="K292" s="8">
        <v>104</v>
      </c>
      <c r="L292" s="8">
        <v>75</v>
      </c>
      <c r="M292" s="24">
        <v>5</v>
      </c>
      <c r="N292" s="15">
        <v>69500</v>
      </c>
      <c r="O292" s="15">
        <v>85900</v>
      </c>
      <c r="P292" s="8" t="s">
        <v>64</v>
      </c>
      <c r="Q292" s="8" t="s">
        <v>168</v>
      </c>
    </row>
    <row r="293" spans="1:17" ht="16" x14ac:dyDescent="0.45">
      <c r="A293" s="8" t="s">
        <v>471</v>
      </c>
      <c r="B293" s="23">
        <v>46157</v>
      </c>
      <c r="C293" s="8" t="s">
        <v>113</v>
      </c>
      <c r="D293" s="8" t="s">
        <v>67</v>
      </c>
      <c r="E293" s="8" t="s">
        <v>60</v>
      </c>
      <c r="F293" s="8" t="s">
        <v>41</v>
      </c>
      <c r="G293" s="8" t="s">
        <v>61</v>
      </c>
      <c r="H293" s="8" t="s">
        <v>62</v>
      </c>
      <c r="I293" s="8" t="s">
        <v>104</v>
      </c>
      <c r="J293" s="8">
        <v>31</v>
      </c>
      <c r="K293" s="8">
        <v>26</v>
      </c>
      <c r="L293" s="8">
        <v>49</v>
      </c>
      <c r="M293" s="24">
        <v>4.2</v>
      </c>
      <c r="N293" s="15">
        <v>55500</v>
      </c>
      <c r="O293" s="15">
        <v>50500</v>
      </c>
      <c r="P293" s="8" t="s">
        <v>64</v>
      </c>
      <c r="Q293" s="8" t="s">
        <v>289</v>
      </c>
    </row>
    <row r="294" spans="1:17" ht="16" x14ac:dyDescent="0.45">
      <c r="A294" s="8" t="s">
        <v>472</v>
      </c>
      <c r="B294" s="23">
        <v>46161</v>
      </c>
      <c r="C294" s="8" t="s">
        <v>99</v>
      </c>
      <c r="D294" s="8" t="s">
        <v>59</v>
      </c>
      <c r="E294" s="8" t="s">
        <v>247</v>
      </c>
      <c r="F294" s="8" t="s">
        <v>36</v>
      </c>
      <c r="G294" s="8" t="s">
        <v>108</v>
      </c>
      <c r="H294" s="8" t="s">
        <v>62</v>
      </c>
      <c r="I294" s="8" t="s">
        <v>71</v>
      </c>
      <c r="J294" s="8">
        <v>167</v>
      </c>
      <c r="K294" s="8">
        <v>108</v>
      </c>
      <c r="L294" s="8">
        <v>86</v>
      </c>
      <c r="M294" s="24">
        <v>4.4000000000000004</v>
      </c>
      <c r="N294" s="15">
        <v>28000</v>
      </c>
      <c r="O294" s="15">
        <v>30300</v>
      </c>
      <c r="P294" s="8" t="s">
        <v>64</v>
      </c>
      <c r="Q294" s="8" t="s">
        <v>142</v>
      </c>
    </row>
    <row r="295" spans="1:17" ht="16" x14ac:dyDescent="0.45">
      <c r="A295" s="8" t="s">
        <v>473</v>
      </c>
      <c r="B295" s="23">
        <v>46163</v>
      </c>
      <c r="C295" s="8" t="s">
        <v>74</v>
      </c>
      <c r="D295" s="8" t="s">
        <v>67</v>
      </c>
      <c r="E295" s="8" t="s">
        <v>139</v>
      </c>
      <c r="F295" s="8" t="s">
        <v>39</v>
      </c>
      <c r="G295" s="8" t="s">
        <v>83</v>
      </c>
      <c r="H295" s="8" t="s">
        <v>62</v>
      </c>
      <c r="I295" s="8" t="s">
        <v>104</v>
      </c>
      <c r="J295" s="8">
        <v>121</v>
      </c>
      <c r="K295" s="8">
        <v>119</v>
      </c>
      <c r="L295" s="8">
        <v>70</v>
      </c>
      <c r="M295" s="24">
        <v>4.0999999999999996</v>
      </c>
      <c r="N295" s="15">
        <v>59000</v>
      </c>
      <c r="O295" s="15">
        <v>53400</v>
      </c>
      <c r="P295" s="8" t="s">
        <v>64</v>
      </c>
      <c r="Q295" s="8" t="s">
        <v>137</v>
      </c>
    </row>
    <row r="296" spans="1:17" ht="16" x14ac:dyDescent="0.45">
      <c r="A296" s="8" t="s">
        <v>474</v>
      </c>
      <c r="B296" s="23">
        <v>46163</v>
      </c>
      <c r="C296" s="8" t="s">
        <v>74</v>
      </c>
      <c r="D296" s="8" t="s">
        <v>75</v>
      </c>
      <c r="E296" s="8" t="s">
        <v>212</v>
      </c>
      <c r="F296" s="8" t="s">
        <v>41</v>
      </c>
      <c r="G296" s="8" t="s">
        <v>61</v>
      </c>
      <c r="H296" s="8" t="s">
        <v>77</v>
      </c>
      <c r="I296" s="8" t="s">
        <v>78</v>
      </c>
      <c r="J296" s="8">
        <v>106</v>
      </c>
      <c r="K296" s="8">
        <v>59</v>
      </c>
      <c r="L296" s="8">
        <v>124</v>
      </c>
      <c r="M296" s="24">
        <v>3.4</v>
      </c>
      <c r="N296" s="15">
        <v>11000</v>
      </c>
      <c r="O296" s="15">
        <v>11500</v>
      </c>
      <c r="P296" s="8" t="s">
        <v>64</v>
      </c>
      <c r="Q296" s="8" t="s">
        <v>111</v>
      </c>
    </row>
    <row r="297" spans="1:17" ht="16" x14ac:dyDescent="0.45">
      <c r="A297" s="8" t="s">
        <v>475</v>
      </c>
      <c r="B297" s="23">
        <v>46165</v>
      </c>
      <c r="C297" s="8" t="s">
        <v>81</v>
      </c>
      <c r="D297" s="8" t="s">
        <v>59</v>
      </c>
      <c r="E297" s="8" t="s">
        <v>212</v>
      </c>
      <c r="F297" s="8" t="s">
        <v>41</v>
      </c>
      <c r="G297" s="8" t="s">
        <v>61</v>
      </c>
      <c r="H297" s="8" t="s">
        <v>62</v>
      </c>
      <c r="I297" s="8" t="s">
        <v>85</v>
      </c>
      <c r="J297" s="8">
        <v>76</v>
      </c>
      <c r="K297" s="8">
        <v>57</v>
      </c>
      <c r="L297" s="8">
        <v>89</v>
      </c>
      <c r="M297" s="24">
        <v>3.9</v>
      </c>
      <c r="N297" s="15">
        <v>56500</v>
      </c>
      <c r="O297" s="15">
        <v>54100</v>
      </c>
      <c r="P297" s="8" t="s">
        <v>64</v>
      </c>
      <c r="Q297" s="8" t="s">
        <v>118</v>
      </c>
    </row>
    <row r="298" spans="1:17" ht="16" x14ac:dyDescent="0.45">
      <c r="A298" s="8" t="s">
        <v>476</v>
      </c>
      <c r="B298" s="23">
        <v>46166</v>
      </c>
      <c r="C298" s="8" t="s">
        <v>145</v>
      </c>
      <c r="D298" s="8" t="s">
        <v>59</v>
      </c>
      <c r="E298" s="8" t="s">
        <v>107</v>
      </c>
      <c r="F298" s="8" t="s">
        <v>36</v>
      </c>
      <c r="G298" s="8" t="s">
        <v>108</v>
      </c>
      <c r="H298" s="8" t="s">
        <v>183</v>
      </c>
      <c r="I298" s="8" t="s">
        <v>71</v>
      </c>
      <c r="J298" s="8">
        <v>48</v>
      </c>
      <c r="K298" s="8">
        <v>31</v>
      </c>
      <c r="L298" s="8">
        <v>24</v>
      </c>
      <c r="M298" s="24">
        <v>4.2</v>
      </c>
      <c r="N298" s="15">
        <v>81000</v>
      </c>
      <c r="O298" s="15">
        <v>94700</v>
      </c>
      <c r="P298" s="8" t="s">
        <v>64</v>
      </c>
      <c r="Q298" s="8" t="s">
        <v>65</v>
      </c>
    </row>
    <row r="299" spans="1:17" ht="16" x14ac:dyDescent="0.45">
      <c r="A299" s="8" t="s">
        <v>477</v>
      </c>
      <c r="B299" s="23">
        <v>46166</v>
      </c>
      <c r="C299" s="8" t="s">
        <v>145</v>
      </c>
      <c r="D299" s="8" t="s">
        <v>59</v>
      </c>
      <c r="E299" s="8" t="s">
        <v>161</v>
      </c>
      <c r="F299" s="8" t="s">
        <v>36</v>
      </c>
      <c r="G299" s="8" t="s">
        <v>108</v>
      </c>
      <c r="H299" s="8" t="s">
        <v>77</v>
      </c>
      <c r="I299" s="8" t="s">
        <v>78</v>
      </c>
      <c r="J299" s="8">
        <v>138</v>
      </c>
      <c r="K299" s="8">
        <v>88</v>
      </c>
      <c r="L299" s="8">
        <v>18</v>
      </c>
      <c r="M299" s="24">
        <v>3.9</v>
      </c>
      <c r="N299" s="15">
        <v>75000</v>
      </c>
      <c r="O299" s="15">
        <v>88000</v>
      </c>
      <c r="P299" s="8" t="s">
        <v>64</v>
      </c>
      <c r="Q299" s="8" t="s">
        <v>65</v>
      </c>
    </row>
    <row r="300" spans="1:17" ht="16" x14ac:dyDescent="0.45">
      <c r="A300" s="8" t="s">
        <v>478</v>
      </c>
      <c r="B300" s="23">
        <v>46172</v>
      </c>
      <c r="C300" s="8" t="s">
        <v>81</v>
      </c>
      <c r="D300" s="8" t="s">
        <v>59</v>
      </c>
      <c r="E300" s="8" t="s">
        <v>123</v>
      </c>
      <c r="F300" s="8" t="s">
        <v>38</v>
      </c>
      <c r="G300" s="8" t="s">
        <v>101</v>
      </c>
      <c r="H300" s="8" t="s">
        <v>156</v>
      </c>
      <c r="I300" s="8" t="s">
        <v>71</v>
      </c>
      <c r="J300" s="8">
        <v>44</v>
      </c>
      <c r="K300" s="8">
        <v>25</v>
      </c>
      <c r="L300" s="8">
        <v>20</v>
      </c>
      <c r="M300" s="24">
        <v>4.4000000000000004</v>
      </c>
      <c r="N300" s="15">
        <v>44500</v>
      </c>
      <c r="O300" s="15">
        <v>43800</v>
      </c>
      <c r="P300" s="8" t="s">
        <v>64</v>
      </c>
      <c r="Q300" s="8" t="s">
        <v>124</v>
      </c>
    </row>
    <row r="301" spans="1:17" ht="16" x14ac:dyDescent="0.45">
      <c r="A301" s="8" t="s">
        <v>479</v>
      </c>
      <c r="B301" s="23">
        <v>46174</v>
      </c>
      <c r="C301" s="8" t="s">
        <v>170</v>
      </c>
      <c r="D301" s="8" t="s">
        <v>120</v>
      </c>
      <c r="E301" s="8" t="s">
        <v>177</v>
      </c>
      <c r="F301" s="8" t="s">
        <v>39</v>
      </c>
      <c r="G301" s="8" t="s">
        <v>83</v>
      </c>
      <c r="H301" s="8" t="s">
        <v>156</v>
      </c>
      <c r="I301" s="8" t="s">
        <v>71</v>
      </c>
      <c r="J301" s="8">
        <v>135</v>
      </c>
      <c r="K301" s="8">
        <v>104</v>
      </c>
      <c r="L301" s="8">
        <v>35</v>
      </c>
      <c r="M301" s="24">
        <v>4.4000000000000004</v>
      </c>
      <c r="N301" s="15">
        <v>65500</v>
      </c>
      <c r="O301" s="15">
        <v>56600</v>
      </c>
      <c r="P301" s="8" t="s">
        <v>64</v>
      </c>
      <c r="Q301" s="8" t="s">
        <v>111</v>
      </c>
    </row>
    <row r="302" spans="1:17" ht="16" x14ac:dyDescent="0.45">
      <c r="A302" s="8" t="s">
        <v>480</v>
      </c>
      <c r="B302" s="23">
        <v>46174</v>
      </c>
      <c r="C302" s="8" t="s">
        <v>170</v>
      </c>
      <c r="D302" s="8" t="s">
        <v>67</v>
      </c>
      <c r="E302" s="8" t="s">
        <v>247</v>
      </c>
      <c r="F302" s="8" t="s">
        <v>36</v>
      </c>
      <c r="G302" s="8" t="s">
        <v>108</v>
      </c>
      <c r="H302" s="8" t="s">
        <v>183</v>
      </c>
      <c r="I302" s="8" t="s">
        <v>71</v>
      </c>
      <c r="J302" s="8">
        <v>120</v>
      </c>
      <c r="K302" s="8">
        <v>114</v>
      </c>
      <c r="L302" s="8">
        <v>66</v>
      </c>
      <c r="M302" s="24">
        <v>4.5</v>
      </c>
      <c r="N302" s="15">
        <v>50000</v>
      </c>
      <c r="O302" s="15">
        <v>57700</v>
      </c>
      <c r="P302" s="8" t="s">
        <v>64</v>
      </c>
      <c r="Q302" s="8" t="s">
        <v>137</v>
      </c>
    </row>
    <row r="303" spans="1:17" ht="16" x14ac:dyDescent="0.45">
      <c r="A303" s="8" t="s">
        <v>481</v>
      </c>
      <c r="B303" s="23">
        <v>46178</v>
      </c>
      <c r="C303" s="8" t="s">
        <v>113</v>
      </c>
      <c r="D303" s="8" t="s">
        <v>67</v>
      </c>
      <c r="E303" s="8" t="s">
        <v>88</v>
      </c>
      <c r="F303" s="8" t="s">
        <v>37</v>
      </c>
      <c r="G303" s="8" t="s">
        <v>89</v>
      </c>
      <c r="H303" s="8" t="s">
        <v>84</v>
      </c>
      <c r="I303" s="8" t="s">
        <v>71</v>
      </c>
      <c r="J303" s="8">
        <v>74</v>
      </c>
      <c r="K303" s="8">
        <v>73</v>
      </c>
      <c r="L303" s="8">
        <v>124</v>
      </c>
      <c r="M303" s="24">
        <v>3.9</v>
      </c>
      <c r="N303" s="15">
        <v>49500</v>
      </c>
      <c r="O303" s="15">
        <v>42000</v>
      </c>
      <c r="P303" s="8" t="s">
        <v>64</v>
      </c>
      <c r="Q303" s="8" t="s">
        <v>234</v>
      </c>
    </row>
    <row r="304" spans="1:17" ht="16" x14ac:dyDescent="0.45">
      <c r="A304" s="8" t="s">
        <v>482</v>
      </c>
      <c r="B304" s="23">
        <v>46178</v>
      </c>
      <c r="C304" s="8" t="s">
        <v>113</v>
      </c>
      <c r="D304" s="8" t="s">
        <v>120</v>
      </c>
      <c r="E304" s="8" t="s">
        <v>161</v>
      </c>
      <c r="F304" s="8" t="s">
        <v>36</v>
      </c>
      <c r="G304" s="8" t="s">
        <v>108</v>
      </c>
      <c r="H304" s="8" t="s">
        <v>62</v>
      </c>
      <c r="I304" s="8" t="s">
        <v>104</v>
      </c>
      <c r="J304" s="8">
        <v>54</v>
      </c>
      <c r="K304" s="8">
        <v>47</v>
      </c>
      <c r="L304" s="8">
        <v>41</v>
      </c>
      <c r="M304" s="24">
        <v>4.8</v>
      </c>
      <c r="N304" s="15">
        <v>64500</v>
      </c>
      <c r="O304" s="15">
        <v>86300</v>
      </c>
      <c r="P304" s="8" t="s">
        <v>64</v>
      </c>
      <c r="Q304" s="8" t="s">
        <v>97</v>
      </c>
    </row>
    <row r="305" spans="1:17" ht="16" x14ac:dyDescent="0.45">
      <c r="A305" s="8" t="s">
        <v>483</v>
      </c>
      <c r="B305" s="23">
        <v>46179</v>
      </c>
      <c r="C305" s="8" t="s">
        <v>81</v>
      </c>
      <c r="D305" s="8" t="s">
        <v>59</v>
      </c>
      <c r="E305" s="8" t="s">
        <v>116</v>
      </c>
      <c r="F305" s="8" t="s">
        <v>39</v>
      </c>
      <c r="G305" s="8" t="s">
        <v>83</v>
      </c>
      <c r="H305" s="8" t="s">
        <v>62</v>
      </c>
      <c r="I305" s="8" t="s">
        <v>117</v>
      </c>
      <c r="J305" s="8">
        <v>127</v>
      </c>
      <c r="K305" s="8">
        <v>96</v>
      </c>
      <c r="L305" s="8">
        <v>50</v>
      </c>
      <c r="M305" s="24">
        <v>4.0999999999999996</v>
      </c>
      <c r="N305" s="15">
        <v>13500</v>
      </c>
      <c r="O305" s="15">
        <v>11500</v>
      </c>
      <c r="P305" s="8" t="s">
        <v>64</v>
      </c>
      <c r="Q305" s="8" t="s">
        <v>127</v>
      </c>
    </row>
    <row r="306" spans="1:17" ht="16" x14ac:dyDescent="0.45">
      <c r="A306" s="8" t="s">
        <v>484</v>
      </c>
      <c r="B306" s="23">
        <v>46180</v>
      </c>
      <c r="C306" s="8" t="s">
        <v>145</v>
      </c>
      <c r="D306" s="8" t="s">
        <v>59</v>
      </c>
      <c r="E306" s="8" t="s">
        <v>100</v>
      </c>
      <c r="F306" s="8" t="s">
        <v>38</v>
      </c>
      <c r="G306" s="8" t="s">
        <v>101</v>
      </c>
      <c r="H306" s="8" t="s">
        <v>62</v>
      </c>
      <c r="I306" s="8" t="s">
        <v>117</v>
      </c>
      <c r="J306" s="8">
        <v>97</v>
      </c>
      <c r="K306" s="8">
        <v>45</v>
      </c>
      <c r="L306" s="8">
        <v>10</v>
      </c>
      <c r="M306" s="24">
        <v>4</v>
      </c>
      <c r="N306" s="15">
        <v>61000</v>
      </c>
      <c r="O306" s="15">
        <v>54500</v>
      </c>
      <c r="P306" s="8" t="s">
        <v>64</v>
      </c>
      <c r="Q306" s="8" t="s">
        <v>111</v>
      </c>
    </row>
    <row r="307" spans="1:17" ht="16" x14ac:dyDescent="0.45">
      <c r="A307" s="8" t="s">
        <v>485</v>
      </c>
      <c r="B307" s="23">
        <v>46180</v>
      </c>
      <c r="C307" s="8" t="s">
        <v>145</v>
      </c>
      <c r="D307" s="8" t="s">
        <v>59</v>
      </c>
      <c r="E307" s="8" t="s">
        <v>172</v>
      </c>
      <c r="F307" s="8" t="s">
        <v>37</v>
      </c>
      <c r="G307" s="8" t="s">
        <v>89</v>
      </c>
      <c r="H307" s="8" t="s">
        <v>62</v>
      </c>
      <c r="I307" s="8" t="s">
        <v>71</v>
      </c>
      <c r="J307" s="8">
        <v>97</v>
      </c>
      <c r="K307" s="8">
        <v>63</v>
      </c>
      <c r="L307" s="8">
        <v>118</v>
      </c>
      <c r="M307" s="24">
        <v>3.6</v>
      </c>
      <c r="N307" s="15">
        <v>38000</v>
      </c>
      <c r="O307" s="15">
        <v>37400</v>
      </c>
      <c r="P307" s="8" t="s">
        <v>64</v>
      </c>
      <c r="Q307" s="8" t="s">
        <v>86</v>
      </c>
    </row>
    <row r="308" spans="1:17" ht="16" x14ac:dyDescent="0.45">
      <c r="A308" s="8" t="s">
        <v>486</v>
      </c>
      <c r="B308" s="23">
        <v>46182</v>
      </c>
      <c r="C308" s="8" t="s">
        <v>99</v>
      </c>
      <c r="D308" s="8" t="s">
        <v>67</v>
      </c>
      <c r="E308" s="8" t="s">
        <v>194</v>
      </c>
      <c r="F308" s="8" t="s">
        <v>38</v>
      </c>
      <c r="G308" s="8" t="s">
        <v>101</v>
      </c>
      <c r="H308" s="8" t="s">
        <v>146</v>
      </c>
      <c r="I308" s="8" t="s">
        <v>71</v>
      </c>
      <c r="J308" s="8">
        <v>160</v>
      </c>
      <c r="K308" s="8">
        <v>141</v>
      </c>
      <c r="L308" s="8">
        <v>107</v>
      </c>
      <c r="M308" s="24">
        <v>4.2</v>
      </c>
      <c r="N308" s="15">
        <v>67500</v>
      </c>
      <c r="O308" s="15">
        <v>55400</v>
      </c>
      <c r="P308" s="8" t="s">
        <v>64</v>
      </c>
      <c r="Q308" s="8" t="s">
        <v>93</v>
      </c>
    </row>
    <row r="309" spans="1:17" ht="16" x14ac:dyDescent="0.45">
      <c r="A309" s="8" t="s">
        <v>487</v>
      </c>
      <c r="B309" s="23">
        <v>46182</v>
      </c>
      <c r="C309" s="8" t="s">
        <v>99</v>
      </c>
      <c r="D309" s="8" t="s">
        <v>67</v>
      </c>
      <c r="E309" s="8" t="s">
        <v>163</v>
      </c>
      <c r="F309" s="8" t="s">
        <v>36</v>
      </c>
      <c r="G309" s="8" t="s">
        <v>108</v>
      </c>
      <c r="H309" s="8" t="s">
        <v>62</v>
      </c>
      <c r="I309" s="8" t="s">
        <v>104</v>
      </c>
      <c r="J309" s="8">
        <v>132</v>
      </c>
      <c r="K309" s="8">
        <v>121</v>
      </c>
      <c r="L309" s="8">
        <v>42</v>
      </c>
      <c r="M309" s="24">
        <v>4.2</v>
      </c>
      <c r="N309" s="15">
        <v>76000</v>
      </c>
      <c r="O309" s="15">
        <v>91800</v>
      </c>
      <c r="P309" s="8" t="s">
        <v>64</v>
      </c>
      <c r="Q309" s="8" t="s">
        <v>86</v>
      </c>
    </row>
    <row r="310" spans="1:17" ht="16" x14ac:dyDescent="0.45">
      <c r="A310" s="8" t="s">
        <v>488</v>
      </c>
      <c r="B310" s="23">
        <v>46183</v>
      </c>
      <c r="C310" s="8" t="s">
        <v>58</v>
      </c>
      <c r="D310" s="8" t="s">
        <v>67</v>
      </c>
      <c r="E310" s="8" t="s">
        <v>163</v>
      </c>
      <c r="F310" s="8" t="s">
        <v>36</v>
      </c>
      <c r="G310" s="8" t="s">
        <v>108</v>
      </c>
      <c r="H310" s="8" t="s">
        <v>146</v>
      </c>
      <c r="I310" s="8" t="s">
        <v>71</v>
      </c>
      <c r="J310" s="8">
        <v>123</v>
      </c>
      <c r="K310" s="8">
        <v>102</v>
      </c>
      <c r="L310" s="8">
        <v>30</v>
      </c>
      <c r="M310" s="24">
        <v>4.5</v>
      </c>
      <c r="N310" s="15">
        <v>15500</v>
      </c>
      <c r="O310" s="15">
        <v>19200</v>
      </c>
      <c r="P310" s="8" t="s">
        <v>64</v>
      </c>
      <c r="Q310" s="8" t="s">
        <v>260</v>
      </c>
    </row>
    <row r="311" spans="1:17" ht="16" x14ac:dyDescent="0.45">
      <c r="A311" s="8" t="s">
        <v>489</v>
      </c>
      <c r="B311" s="23">
        <v>46185</v>
      </c>
      <c r="C311" s="8" t="s">
        <v>113</v>
      </c>
      <c r="D311" s="8" t="s">
        <v>75</v>
      </c>
      <c r="E311" s="8" t="s">
        <v>114</v>
      </c>
      <c r="F311" s="8" t="s">
        <v>39</v>
      </c>
      <c r="G311" s="8" t="s">
        <v>83</v>
      </c>
      <c r="H311" s="8" t="s">
        <v>62</v>
      </c>
      <c r="I311" s="8" t="s">
        <v>63</v>
      </c>
      <c r="J311" s="8">
        <v>96</v>
      </c>
      <c r="K311" s="8">
        <v>76</v>
      </c>
      <c r="L311" s="8">
        <v>42</v>
      </c>
      <c r="M311" s="24">
        <v>3.9</v>
      </c>
      <c r="N311" s="15">
        <v>9000</v>
      </c>
      <c r="O311" s="15">
        <v>8000</v>
      </c>
      <c r="P311" s="8" t="s">
        <v>64</v>
      </c>
      <c r="Q311" s="8" t="s">
        <v>86</v>
      </c>
    </row>
    <row r="312" spans="1:17" ht="16" x14ac:dyDescent="0.45">
      <c r="A312" s="8" t="s">
        <v>490</v>
      </c>
      <c r="B312" s="23">
        <v>46188</v>
      </c>
      <c r="C312" s="8" t="s">
        <v>170</v>
      </c>
      <c r="D312" s="8" t="s">
        <v>75</v>
      </c>
      <c r="E312" s="8" t="s">
        <v>247</v>
      </c>
      <c r="F312" s="8" t="s">
        <v>36</v>
      </c>
      <c r="G312" s="8" t="s">
        <v>108</v>
      </c>
      <c r="H312" s="8" t="s">
        <v>77</v>
      </c>
      <c r="I312" s="8" t="s">
        <v>78</v>
      </c>
      <c r="J312" s="8">
        <v>175</v>
      </c>
      <c r="K312" s="8">
        <v>106</v>
      </c>
      <c r="L312" s="8">
        <v>56</v>
      </c>
      <c r="M312" s="24">
        <v>4</v>
      </c>
      <c r="N312" s="15">
        <v>68500</v>
      </c>
      <c r="O312" s="15">
        <v>77200</v>
      </c>
      <c r="P312" s="8" t="s">
        <v>64</v>
      </c>
      <c r="Q312" s="8" t="s">
        <v>137</v>
      </c>
    </row>
    <row r="313" spans="1:17" ht="16" x14ac:dyDescent="0.45">
      <c r="A313" s="8" t="s">
        <v>491</v>
      </c>
      <c r="B313" s="23">
        <v>46189</v>
      </c>
      <c r="C313" s="8" t="s">
        <v>99</v>
      </c>
      <c r="D313" s="8" t="s">
        <v>75</v>
      </c>
      <c r="E313" s="8" t="s">
        <v>152</v>
      </c>
      <c r="F313" s="8" t="s">
        <v>40</v>
      </c>
      <c r="G313" s="8" t="s">
        <v>69</v>
      </c>
      <c r="H313" s="8" t="s">
        <v>77</v>
      </c>
      <c r="I313" s="8" t="s">
        <v>78</v>
      </c>
      <c r="J313" s="8">
        <v>312</v>
      </c>
      <c r="K313" s="8">
        <v>176</v>
      </c>
      <c r="L313" s="8">
        <v>106</v>
      </c>
      <c r="M313" s="24">
        <v>3.7</v>
      </c>
      <c r="N313" s="15">
        <v>17500</v>
      </c>
      <c r="O313" s="15">
        <v>15300</v>
      </c>
      <c r="P313" s="8" t="s">
        <v>64</v>
      </c>
      <c r="Q313" s="8" t="s">
        <v>127</v>
      </c>
    </row>
    <row r="314" spans="1:17" ht="16" x14ac:dyDescent="0.45">
      <c r="A314" s="8" t="s">
        <v>492</v>
      </c>
      <c r="B314" s="23">
        <v>46190</v>
      </c>
      <c r="C314" s="8" t="s">
        <v>58</v>
      </c>
      <c r="D314" s="8" t="s">
        <v>75</v>
      </c>
      <c r="E314" s="8" t="s">
        <v>110</v>
      </c>
      <c r="F314" s="8" t="s">
        <v>36</v>
      </c>
      <c r="G314" s="8" t="s">
        <v>108</v>
      </c>
      <c r="H314" s="8" t="s">
        <v>156</v>
      </c>
      <c r="I314" s="8" t="s">
        <v>71</v>
      </c>
      <c r="J314" s="8">
        <v>65</v>
      </c>
      <c r="K314" s="8">
        <v>47</v>
      </c>
      <c r="L314" s="8">
        <v>14</v>
      </c>
      <c r="M314" s="24">
        <v>4.7</v>
      </c>
      <c r="N314" s="15">
        <v>51000</v>
      </c>
      <c r="O314" s="15">
        <v>57400</v>
      </c>
      <c r="P314" s="8" t="s">
        <v>64</v>
      </c>
      <c r="Q314" s="8" t="s">
        <v>493</v>
      </c>
    </row>
    <row r="315" spans="1:17" ht="16" x14ac:dyDescent="0.45">
      <c r="A315" s="8" t="s">
        <v>494</v>
      </c>
      <c r="B315" s="23">
        <v>46191</v>
      </c>
      <c r="C315" s="8" t="s">
        <v>74</v>
      </c>
      <c r="D315" s="8" t="s">
        <v>120</v>
      </c>
      <c r="E315" s="8" t="s">
        <v>121</v>
      </c>
      <c r="F315" s="8" t="s">
        <v>38</v>
      </c>
      <c r="G315" s="8" t="s">
        <v>101</v>
      </c>
      <c r="H315" s="8" t="s">
        <v>62</v>
      </c>
      <c r="I315" s="8" t="s">
        <v>117</v>
      </c>
      <c r="J315" s="8">
        <v>44</v>
      </c>
      <c r="K315" s="8">
        <v>36</v>
      </c>
      <c r="L315" s="8">
        <v>13</v>
      </c>
      <c r="M315" s="24">
        <v>3.8</v>
      </c>
      <c r="N315" s="15">
        <v>59500</v>
      </c>
      <c r="O315" s="15">
        <v>48000</v>
      </c>
      <c r="P315" s="8" t="s">
        <v>64</v>
      </c>
      <c r="Q315" s="8" t="s">
        <v>383</v>
      </c>
    </row>
    <row r="316" spans="1:17" ht="16" x14ac:dyDescent="0.45">
      <c r="A316" s="8" t="s">
        <v>495</v>
      </c>
      <c r="B316" s="23">
        <v>46198</v>
      </c>
      <c r="C316" s="8" t="s">
        <v>74</v>
      </c>
      <c r="D316" s="8" t="s">
        <v>75</v>
      </c>
      <c r="E316" s="8" t="s">
        <v>161</v>
      </c>
      <c r="F316" s="8" t="s">
        <v>36</v>
      </c>
      <c r="G316" s="8" t="s">
        <v>108</v>
      </c>
      <c r="H316" s="8" t="s">
        <v>77</v>
      </c>
      <c r="I316" s="8" t="s">
        <v>78</v>
      </c>
      <c r="J316" s="8">
        <v>146</v>
      </c>
      <c r="K316" s="8">
        <v>86</v>
      </c>
      <c r="L316" s="8">
        <v>73</v>
      </c>
      <c r="M316" s="24">
        <v>4.2</v>
      </c>
      <c r="N316" s="15">
        <v>11000</v>
      </c>
      <c r="O316" s="15">
        <v>12600</v>
      </c>
      <c r="P316" s="8" t="s">
        <v>64</v>
      </c>
      <c r="Q316" s="8" t="s">
        <v>137</v>
      </c>
    </row>
    <row r="317" spans="1:17" ht="16" x14ac:dyDescent="0.45">
      <c r="A317" s="8" t="s">
        <v>496</v>
      </c>
      <c r="B317" s="23">
        <v>46198</v>
      </c>
      <c r="C317" s="8" t="s">
        <v>74</v>
      </c>
      <c r="D317" s="8" t="s">
        <v>59</v>
      </c>
      <c r="E317" s="8" t="s">
        <v>100</v>
      </c>
      <c r="F317" s="8" t="s">
        <v>38</v>
      </c>
      <c r="G317" s="8" t="s">
        <v>101</v>
      </c>
      <c r="H317" s="8" t="s">
        <v>62</v>
      </c>
      <c r="I317" s="8" t="s">
        <v>117</v>
      </c>
      <c r="J317" s="8">
        <v>112</v>
      </c>
      <c r="K317" s="8">
        <v>71</v>
      </c>
      <c r="L317" s="8">
        <v>41</v>
      </c>
      <c r="M317" s="24">
        <v>4.2</v>
      </c>
      <c r="N317" s="15">
        <v>33500</v>
      </c>
      <c r="O317" s="15">
        <v>34900</v>
      </c>
      <c r="P317" s="8" t="s">
        <v>64</v>
      </c>
      <c r="Q317" s="8" t="s">
        <v>118</v>
      </c>
    </row>
    <row r="318" spans="1:17" ht="16" x14ac:dyDescent="0.45">
      <c r="A318" s="8" t="s">
        <v>497</v>
      </c>
      <c r="B318" s="23">
        <v>46201</v>
      </c>
      <c r="C318" s="8" t="s">
        <v>145</v>
      </c>
      <c r="D318" s="8" t="s">
        <v>59</v>
      </c>
      <c r="E318" s="8" t="s">
        <v>60</v>
      </c>
      <c r="F318" s="8" t="s">
        <v>41</v>
      </c>
      <c r="G318" s="8" t="s">
        <v>61</v>
      </c>
      <c r="H318" s="8" t="s">
        <v>77</v>
      </c>
      <c r="I318" s="8" t="s">
        <v>78</v>
      </c>
      <c r="J318" s="8">
        <v>278</v>
      </c>
      <c r="K318" s="8">
        <v>160</v>
      </c>
      <c r="L318" s="8">
        <v>236</v>
      </c>
      <c r="M318" s="24">
        <v>3.9</v>
      </c>
      <c r="N318" s="15">
        <v>50500</v>
      </c>
      <c r="O318" s="15">
        <v>46700</v>
      </c>
      <c r="P318" s="8" t="s">
        <v>64</v>
      </c>
      <c r="Q318" s="8" t="s">
        <v>390</v>
      </c>
    </row>
    <row r="319" spans="1:17" ht="16" x14ac:dyDescent="0.45">
      <c r="A319" s="8" t="s">
        <v>498</v>
      </c>
      <c r="B319" s="23">
        <v>46207</v>
      </c>
      <c r="C319" s="8" t="s">
        <v>81</v>
      </c>
      <c r="D319" s="8" t="s">
        <v>59</v>
      </c>
      <c r="E319" s="8" t="s">
        <v>121</v>
      </c>
      <c r="F319" s="8" t="s">
        <v>38</v>
      </c>
      <c r="G319" s="8" t="s">
        <v>101</v>
      </c>
      <c r="H319" s="8" t="s">
        <v>77</v>
      </c>
      <c r="I319" s="8" t="s">
        <v>78</v>
      </c>
      <c r="J319" s="8">
        <v>319</v>
      </c>
      <c r="K319" s="8">
        <v>160</v>
      </c>
      <c r="L319" s="8">
        <v>100</v>
      </c>
      <c r="M319" s="24">
        <v>3.2</v>
      </c>
      <c r="N319" s="15">
        <v>70500</v>
      </c>
      <c r="O319" s="15">
        <v>74200</v>
      </c>
      <c r="P319" s="8" t="s">
        <v>64</v>
      </c>
      <c r="Q319" s="8" t="s">
        <v>86</v>
      </c>
    </row>
    <row r="320" spans="1:17" ht="16" x14ac:dyDescent="0.45">
      <c r="A320" s="8" t="s">
        <v>499</v>
      </c>
      <c r="B320" s="23">
        <v>46208</v>
      </c>
      <c r="C320" s="8" t="s">
        <v>145</v>
      </c>
      <c r="D320" s="8" t="s">
        <v>59</v>
      </c>
      <c r="E320" s="8" t="s">
        <v>247</v>
      </c>
      <c r="F320" s="8" t="s">
        <v>36</v>
      </c>
      <c r="G320" s="8" t="s">
        <v>108</v>
      </c>
      <c r="H320" s="8" t="s">
        <v>62</v>
      </c>
      <c r="I320" s="8" t="s">
        <v>104</v>
      </c>
      <c r="J320" s="8">
        <v>151</v>
      </c>
      <c r="K320" s="8">
        <v>99</v>
      </c>
      <c r="L320" s="8">
        <v>64</v>
      </c>
      <c r="M320" s="24">
        <v>4.5</v>
      </c>
      <c r="N320" s="15">
        <v>72000</v>
      </c>
      <c r="O320" s="15">
        <v>72300</v>
      </c>
      <c r="P320" s="8" t="s">
        <v>64</v>
      </c>
      <c r="Q320" s="8" t="s">
        <v>111</v>
      </c>
    </row>
    <row r="321" spans="1:17" ht="16" x14ac:dyDescent="0.45">
      <c r="A321" s="8" t="s">
        <v>500</v>
      </c>
      <c r="B321" s="23">
        <v>46218</v>
      </c>
      <c r="C321" s="8" t="s">
        <v>58</v>
      </c>
      <c r="D321" s="8" t="s">
        <v>67</v>
      </c>
      <c r="E321" s="8" t="s">
        <v>129</v>
      </c>
      <c r="F321" s="8" t="s">
        <v>40</v>
      </c>
      <c r="G321" s="8" t="s">
        <v>69</v>
      </c>
      <c r="H321" s="8" t="s">
        <v>378</v>
      </c>
      <c r="I321" s="8" t="s">
        <v>78</v>
      </c>
      <c r="J321" s="8">
        <v>133</v>
      </c>
      <c r="K321" s="8">
        <v>61</v>
      </c>
      <c r="L321" s="8">
        <v>47</v>
      </c>
      <c r="M321" s="24">
        <v>3.7</v>
      </c>
      <c r="N321" s="15">
        <v>28000</v>
      </c>
      <c r="O321" s="15">
        <v>25100</v>
      </c>
      <c r="P321" s="8" t="s">
        <v>64</v>
      </c>
      <c r="Q321" s="8" t="s">
        <v>93</v>
      </c>
    </row>
    <row r="322" spans="1:17" ht="16" x14ac:dyDescent="0.45">
      <c r="A322" s="8" t="s">
        <v>501</v>
      </c>
      <c r="B322" s="23">
        <v>46221</v>
      </c>
      <c r="C322" s="8" t="s">
        <v>81</v>
      </c>
      <c r="D322" s="8" t="s">
        <v>59</v>
      </c>
      <c r="E322" s="8" t="s">
        <v>68</v>
      </c>
      <c r="F322" s="8" t="s">
        <v>40</v>
      </c>
      <c r="G322" s="8" t="s">
        <v>69</v>
      </c>
      <c r="H322" s="8" t="s">
        <v>77</v>
      </c>
      <c r="I322" s="8" t="s">
        <v>78</v>
      </c>
      <c r="J322" s="8">
        <v>158</v>
      </c>
      <c r="K322" s="8">
        <v>85</v>
      </c>
      <c r="L322" s="8">
        <v>50</v>
      </c>
      <c r="M322" s="24">
        <v>3.6</v>
      </c>
      <c r="N322" s="15">
        <v>44000</v>
      </c>
      <c r="O322" s="15">
        <v>37100</v>
      </c>
      <c r="P322" s="8" t="s">
        <v>64</v>
      </c>
      <c r="Q322" s="8" t="s">
        <v>111</v>
      </c>
    </row>
    <row r="323" spans="1:17" ht="16" x14ac:dyDescent="0.45">
      <c r="A323" s="8" t="s">
        <v>502</v>
      </c>
      <c r="B323" s="23">
        <v>46224</v>
      </c>
      <c r="C323" s="8" t="s">
        <v>99</v>
      </c>
      <c r="D323" s="8" t="s">
        <v>120</v>
      </c>
      <c r="E323" s="8" t="s">
        <v>123</v>
      </c>
      <c r="F323" s="8" t="s">
        <v>38</v>
      </c>
      <c r="G323" s="8" t="s">
        <v>101</v>
      </c>
      <c r="H323" s="8" t="s">
        <v>62</v>
      </c>
      <c r="I323" s="8" t="s">
        <v>104</v>
      </c>
      <c r="J323" s="8">
        <v>130</v>
      </c>
      <c r="K323" s="8">
        <v>104</v>
      </c>
      <c r="L323" s="8">
        <v>90</v>
      </c>
      <c r="M323" s="24">
        <v>3.9</v>
      </c>
      <c r="N323" s="15">
        <v>44000</v>
      </c>
      <c r="O323" s="15">
        <v>44200</v>
      </c>
      <c r="P323" s="8" t="s">
        <v>64</v>
      </c>
      <c r="Q323" s="8" t="s">
        <v>86</v>
      </c>
    </row>
    <row r="324" spans="1:17" ht="16" x14ac:dyDescent="0.45">
      <c r="A324" s="8" t="s">
        <v>503</v>
      </c>
      <c r="B324" s="23">
        <v>46226</v>
      </c>
      <c r="C324" s="8" t="s">
        <v>74</v>
      </c>
      <c r="D324" s="8" t="s">
        <v>67</v>
      </c>
      <c r="E324" s="8" t="s">
        <v>161</v>
      </c>
      <c r="F324" s="8" t="s">
        <v>36</v>
      </c>
      <c r="G324" s="8" t="s">
        <v>108</v>
      </c>
      <c r="H324" s="8" t="s">
        <v>84</v>
      </c>
      <c r="I324" s="8" t="s">
        <v>71</v>
      </c>
      <c r="J324" s="8">
        <v>46</v>
      </c>
      <c r="K324" s="8">
        <v>43</v>
      </c>
      <c r="L324" s="8">
        <v>14</v>
      </c>
      <c r="M324" s="24">
        <v>4.8</v>
      </c>
      <c r="N324" s="15">
        <v>83500</v>
      </c>
      <c r="O324" s="15">
        <v>100300</v>
      </c>
      <c r="P324" s="8" t="s">
        <v>64</v>
      </c>
      <c r="Q324" s="8" t="s">
        <v>72</v>
      </c>
    </row>
    <row r="325" spans="1:17" ht="16" x14ac:dyDescent="0.45">
      <c r="A325" s="8" t="s">
        <v>504</v>
      </c>
      <c r="B325" s="23">
        <v>46227</v>
      </c>
      <c r="C325" s="8" t="s">
        <v>113</v>
      </c>
      <c r="D325" s="8" t="s">
        <v>67</v>
      </c>
      <c r="E325" s="8" t="s">
        <v>172</v>
      </c>
      <c r="F325" s="8" t="s">
        <v>37</v>
      </c>
      <c r="G325" s="8" t="s">
        <v>89</v>
      </c>
      <c r="H325" s="8" t="s">
        <v>77</v>
      </c>
      <c r="I325" s="8" t="s">
        <v>78</v>
      </c>
      <c r="J325" s="8">
        <v>186</v>
      </c>
      <c r="K325" s="8">
        <v>103</v>
      </c>
      <c r="L325" s="8">
        <v>190</v>
      </c>
      <c r="M325" s="24">
        <v>3.9</v>
      </c>
      <c r="N325" s="15">
        <v>11500</v>
      </c>
      <c r="O325" s="15">
        <v>10400</v>
      </c>
      <c r="P325" s="8" t="s">
        <v>64</v>
      </c>
      <c r="Q325" s="8" t="s">
        <v>198</v>
      </c>
    </row>
    <row r="326" spans="1:17" ht="16" x14ac:dyDescent="0.45">
      <c r="A326" s="8" t="s">
        <v>505</v>
      </c>
      <c r="B326" s="23">
        <v>46228</v>
      </c>
      <c r="C326" s="8" t="s">
        <v>81</v>
      </c>
      <c r="D326" s="8" t="s">
        <v>59</v>
      </c>
      <c r="E326" s="8" t="s">
        <v>247</v>
      </c>
      <c r="F326" s="8" t="s">
        <v>36</v>
      </c>
      <c r="G326" s="8" t="s">
        <v>108</v>
      </c>
      <c r="H326" s="8" t="s">
        <v>146</v>
      </c>
      <c r="I326" s="8" t="s">
        <v>71</v>
      </c>
      <c r="J326" s="8">
        <v>35</v>
      </c>
      <c r="K326" s="8">
        <v>26</v>
      </c>
      <c r="L326" s="8">
        <v>17</v>
      </c>
      <c r="M326" s="24">
        <v>4.5</v>
      </c>
      <c r="N326" s="15">
        <v>71500</v>
      </c>
      <c r="O326" s="15">
        <v>86500</v>
      </c>
      <c r="P326" s="8" t="s">
        <v>64</v>
      </c>
      <c r="Q326" s="8" t="s">
        <v>127</v>
      </c>
    </row>
    <row r="327" spans="1:17" ht="16" x14ac:dyDescent="0.45">
      <c r="A327" s="8" t="s">
        <v>506</v>
      </c>
      <c r="B327" s="23">
        <v>46237</v>
      </c>
      <c r="C327" s="8" t="s">
        <v>170</v>
      </c>
      <c r="D327" s="8" t="s">
        <v>120</v>
      </c>
      <c r="E327" s="8" t="s">
        <v>126</v>
      </c>
      <c r="F327" s="8" t="s">
        <v>37</v>
      </c>
      <c r="G327" s="8" t="s">
        <v>89</v>
      </c>
      <c r="H327" s="8" t="s">
        <v>62</v>
      </c>
      <c r="I327" s="8" t="s">
        <v>104</v>
      </c>
      <c r="J327" s="8">
        <v>121</v>
      </c>
      <c r="K327" s="8">
        <v>106</v>
      </c>
      <c r="L327" s="8">
        <v>225</v>
      </c>
      <c r="M327" s="24">
        <v>4.0999999999999996</v>
      </c>
      <c r="N327" s="15">
        <v>49500</v>
      </c>
      <c r="O327" s="15">
        <v>44400</v>
      </c>
      <c r="P327" s="8" t="s">
        <v>64</v>
      </c>
      <c r="Q327" s="8" t="s">
        <v>127</v>
      </c>
    </row>
    <row r="328" spans="1:17" ht="16" x14ac:dyDescent="0.45">
      <c r="A328" s="8" t="s">
        <v>507</v>
      </c>
      <c r="B328" s="23">
        <v>46248</v>
      </c>
      <c r="C328" s="8" t="s">
        <v>113</v>
      </c>
      <c r="D328" s="8" t="s">
        <v>75</v>
      </c>
      <c r="E328" s="8" t="s">
        <v>100</v>
      </c>
      <c r="F328" s="8" t="s">
        <v>38</v>
      </c>
      <c r="G328" s="8" t="s">
        <v>101</v>
      </c>
      <c r="H328" s="8" t="s">
        <v>62</v>
      </c>
      <c r="I328" s="8" t="s">
        <v>117</v>
      </c>
      <c r="J328" s="8">
        <v>100</v>
      </c>
      <c r="K328" s="8">
        <v>73</v>
      </c>
      <c r="L328" s="8">
        <v>44</v>
      </c>
      <c r="M328" s="24">
        <v>3.7</v>
      </c>
      <c r="N328" s="15">
        <v>43000</v>
      </c>
      <c r="O328" s="15">
        <v>35300</v>
      </c>
      <c r="P328" s="8" t="s">
        <v>64</v>
      </c>
      <c r="Q328" s="8" t="s">
        <v>118</v>
      </c>
    </row>
    <row r="329" spans="1:17" ht="16" x14ac:dyDescent="0.45">
      <c r="A329" s="8" t="s">
        <v>508</v>
      </c>
      <c r="B329" s="23">
        <v>46249</v>
      </c>
      <c r="C329" s="8" t="s">
        <v>81</v>
      </c>
      <c r="D329" s="8" t="s">
        <v>59</v>
      </c>
      <c r="E329" s="8" t="s">
        <v>116</v>
      </c>
      <c r="F329" s="8" t="s">
        <v>39</v>
      </c>
      <c r="G329" s="8" t="s">
        <v>83</v>
      </c>
      <c r="H329" s="8" t="s">
        <v>84</v>
      </c>
      <c r="I329" s="8" t="s">
        <v>85</v>
      </c>
      <c r="J329" s="8">
        <v>143</v>
      </c>
      <c r="K329" s="8">
        <v>98</v>
      </c>
      <c r="L329" s="8">
        <v>32</v>
      </c>
      <c r="M329" s="24">
        <v>3.5</v>
      </c>
      <c r="N329" s="15">
        <v>9000</v>
      </c>
      <c r="O329" s="15">
        <v>7400</v>
      </c>
      <c r="P329" s="8" t="s">
        <v>64</v>
      </c>
      <c r="Q329" s="8" t="s">
        <v>142</v>
      </c>
    </row>
    <row r="330" spans="1:17" ht="16" x14ac:dyDescent="0.45">
      <c r="A330" s="8" t="s">
        <v>509</v>
      </c>
      <c r="B330" s="23">
        <v>46258</v>
      </c>
      <c r="C330" s="8" t="s">
        <v>170</v>
      </c>
      <c r="D330" s="8" t="s">
        <v>67</v>
      </c>
      <c r="E330" s="8" t="s">
        <v>161</v>
      </c>
      <c r="F330" s="8" t="s">
        <v>36</v>
      </c>
      <c r="G330" s="8" t="s">
        <v>108</v>
      </c>
      <c r="H330" s="8" t="s">
        <v>62</v>
      </c>
      <c r="I330" s="8" t="s">
        <v>71</v>
      </c>
      <c r="J330" s="8">
        <v>155</v>
      </c>
      <c r="K330" s="8">
        <v>141</v>
      </c>
      <c r="L330" s="8">
        <v>93</v>
      </c>
      <c r="M330" s="24">
        <v>4.2</v>
      </c>
      <c r="N330" s="15">
        <v>27500</v>
      </c>
      <c r="O330" s="15">
        <v>30900</v>
      </c>
      <c r="P330" s="8" t="s">
        <v>64</v>
      </c>
      <c r="Q330" s="8" t="s">
        <v>111</v>
      </c>
    </row>
    <row r="331" spans="1:17" ht="16" x14ac:dyDescent="0.45">
      <c r="A331" s="8" t="s">
        <v>510</v>
      </c>
      <c r="B331" s="23">
        <v>46259</v>
      </c>
      <c r="C331" s="8" t="s">
        <v>99</v>
      </c>
      <c r="D331" s="8" t="s">
        <v>67</v>
      </c>
      <c r="E331" s="8" t="s">
        <v>273</v>
      </c>
      <c r="F331" s="8" t="s">
        <v>41</v>
      </c>
      <c r="G331" s="8" t="s">
        <v>61</v>
      </c>
      <c r="H331" s="8" t="s">
        <v>62</v>
      </c>
      <c r="I331" s="8" t="s">
        <v>71</v>
      </c>
      <c r="J331" s="8">
        <v>36</v>
      </c>
      <c r="K331" s="8">
        <v>34</v>
      </c>
      <c r="L331" s="8">
        <v>43</v>
      </c>
      <c r="M331" s="24">
        <v>3.9</v>
      </c>
      <c r="N331" s="15">
        <v>17500</v>
      </c>
      <c r="O331" s="15">
        <v>15400</v>
      </c>
      <c r="P331" s="8" t="s">
        <v>64</v>
      </c>
      <c r="Q331" s="8" t="s">
        <v>253</v>
      </c>
    </row>
    <row r="332" spans="1:17" ht="16" x14ac:dyDescent="0.45">
      <c r="A332" s="8" t="s">
        <v>511</v>
      </c>
      <c r="B332" s="23">
        <v>46262</v>
      </c>
      <c r="C332" s="8" t="s">
        <v>113</v>
      </c>
      <c r="D332" s="8" t="s">
        <v>120</v>
      </c>
      <c r="E332" s="8" t="s">
        <v>172</v>
      </c>
      <c r="F332" s="8" t="s">
        <v>37</v>
      </c>
      <c r="G332" s="8" t="s">
        <v>89</v>
      </c>
      <c r="H332" s="8" t="s">
        <v>62</v>
      </c>
      <c r="I332" s="8" t="s">
        <v>85</v>
      </c>
      <c r="J332" s="8">
        <v>108</v>
      </c>
      <c r="K332" s="8">
        <v>88</v>
      </c>
      <c r="L332" s="8">
        <v>179</v>
      </c>
      <c r="M332" s="24">
        <v>4.0999999999999996</v>
      </c>
      <c r="N332" s="15">
        <v>49000</v>
      </c>
      <c r="O332" s="15">
        <v>46900</v>
      </c>
      <c r="P332" s="8" t="s">
        <v>64</v>
      </c>
      <c r="Q332" s="8" t="s">
        <v>65</v>
      </c>
    </row>
    <row r="333" spans="1:17" ht="16" x14ac:dyDescent="0.45">
      <c r="A333" s="8" t="s">
        <v>512</v>
      </c>
      <c r="B333" s="23">
        <v>46263</v>
      </c>
      <c r="C333" s="8" t="s">
        <v>81</v>
      </c>
      <c r="D333" s="8" t="s">
        <v>59</v>
      </c>
      <c r="E333" s="8" t="s">
        <v>194</v>
      </c>
      <c r="F333" s="8" t="s">
        <v>38</v>
      </c>
      <c r="G333" s="8" t="s">
        <v>101</v>
      </c>
      <c r="H333" s="8" t="s">
        <v>77</v>
      </c>
      <c r="I333" s="8" t="s">
        <v>78</v>
      </c>
      <c r="J333" s="8">
        <v>202</v>
      </c>
      <c r="K333" s="8">
        <v>97</v>
      </c>
      <c r="L333" s="8">
        <v>42</v>
      </c>
      <c r="M333" s="24">
        <v>3.9</v>
      </c>
      <c r="N333" s="15">
        <v>68500</v>
      </c>
      <c r="O333" s="15">
        <v>63000</v>
      </c>
      <c r="P333" s="8" t="s">
        <v>64</v>
      </c>
      <c r="Q333" s="8" t="s">
        <v>93</v>
      </c>
    </row>
    <row r="334" spans="1:17" ht="16" x14ac:dyDescent="0.45">
      <c r="A334" s="8" t="s">
        <v>513</v>
      </c>
      <c r="B334" s="23">
        <v>46273</v>
      </c>
      <c r="C334" s="8" t="s">
        <v>99</v>
      </c>
      <c r="D334" s="8" t="s">
        <v>75</v>
      </c>
      <c r="E334" s="8" t="s">
        <v>103</v>
      </c>
      <c r="F334" s="8" t="s">
        <v>37</v>
      </c>
      <c r="G334" s="8" t="s">
        <v>89</v>
      </c>
      <c r="H334" s="8" t="s">
        <v>62</v>
      </c>
      <c r="I334" s="8" t="s">
        <v>117</v>
      </c>
      <c r="J334" s="8">
        <v>65</v>
      </c>
      <c r="K334" s="8">
        <v>47</v>
      </c>
      <c r="L334" s="8">
        <v>97</v>
      </c>
      <c r="M334" s="24">
        <v>4.3</v>
      </c>
      <c r="N334" s="15">
        <v>18000</v>
      </c>
      <c r="O334" s="15">
        <v>16100</v>
      </c>
      <c r="P334" s="8" t="s">
        <v>64</v>
      </c>
      <c r="Q334" s="8" t="s">
        <v>86</v>
      </c>
    </row>
    <row r="335" spans="1:17" ht="16" x14ac:dyDescent="0.45">
      <c r="A335" s="8" t="s">
        <v>514</v>
      </c>
      <c r="B335" s="23">
        <v>46274</v>
      </c>
      <c r="C335" s="8" t="s">
        <v>58</v>
      </c>
      <c r="D335" s="8" t="s">
        <v>120</v>
      </c>
      <c r="E335" s="8" t="s">
        <v>100</v>
      </c>
      <c r="F335" s="8" t="s">
        <v>38</v>
      </c>
      <c r="G335" s="8" t="s">
        <v>101</v>
      </c>
      <c r="H335" s="8" t="s">
        <v>70</v>
      </c>
      <c r="I335" s="8" t="s">
        <v>71</v>
      </c>
      <c r="J335" s="8">
        <v>54</v>
      </c>
      <c r="K335" s="8">
        <v>47</v>
      </c>
      <c r="L335" s="8">
        <v>41</v>
      </c>
      <c r="M335" s="24">
        <v>3.8</v>
      </c>
      <c r="N335" s="15">
        <v>50500</v>
      </c>
      <c r="O335" s="15">
        <v>52100</v>
      </c>
      <c r="P335" s="8" t="s">
        <v>64</v>
      </c>
      <c r="Q335" s="8" t="s">
        <v>403</v>
      </c>
    </row>
    <row r="336" spans="1:17" ht="16" x14ac:dyDescent="0.45">
      <c r="A336" s="8" t="s">
        <v>515</v>
      </c>
      <c r="B336" s="23">
        <v>46275</v>
      </c>
      <c r="C336" s="8" t="s">
        <v>74</v>
      </c>
      <c r="D336" s="8" t="s">
        <v>67</v>
      </c>
      <c r="E336" s="8" t="s">
        <v>163</v>
      </c>
      <c r="F336" s="8" t="s">
        <v>36</v>
      </c>
      <c r="G336" s="8" t="s">
        <v>108</v>
      </c>
      <c r="H336" s="8" t="s">
        <v>77</v>
      </c>
      <c r="I336" s="8" t="s">
        <v>78</v>
      </c>
      <c r="J336" s="8">
        <v>246</v>
      </c>
      <c r="K336" s="8">
        <v>0</v>
      </c>
      <c r="L336" s="8">
        <v>0</v>
      </c>
      <c r="M336" s="24"/>
      <c r="N336" s="15">
        <v>30000</v>
      </c>
      <c r="O336" s="15">
        <v>3000</v>
      </c>
      <c r="P336" s="8" t="s">
        <v>96</v>
      </c>
      <c r="Q336" s="8" t="s">
        <v>65</v>
      </c>
    </row>
    <row r="337" spans="1:17" ht="16" x14ac:dyDescent="0.45">
      <c r="A337" s="8" t="s">
        <v>516</v>
      </c>
      <c r="B337" s="23">
        <v>46281</v>
      </c>
      <c r="C337" s="8" t="s">
        <v>58</v>
      </c>
      <c r="D337" s="8" t="s">
        <v>75</v>
      </c>
      <c r="E337" s="8" t="s">
        <v>212</v>
      </c>
      <c r="F337" s="8" t="s">
        <v>41</v>
      </c>
      <c r="G337" s="8" t="s">
        <v>61</v>
      </c>
      <c r="H337" s="8" t="s">
        <v>77</v>
      </c>
      <c r="I337" s="8" t="s">
        <v>78</v>
      </c>
      <c r="J337" s="8">
        <v>117</v>
      </c>
      <c r="K337" s="8">
        <v>63</v>
      </c>
      <c r="L337" s="8">
        <v>137</v>
      </c>
      <c r="M337" s="24">
        <v>3.7</v>
      </c>
      <c r="N337" s="15">
        <v>76000</v>
      </c>
      <c r="O337" s="15">
        <v>61500</v>
      </c>
      <c r="P337" s="8" t="s">
        <v>64</v>
      </c>
      <c r="Q337" s="8" t="s">
        <v>327</v>
      </c>
    </row>
    <row r="338" spans="1:17" ht="16" x14ac:dyDescent="0.45">
      <c r="A338" s="8" t="s">
        <v>517</v>
      </c>
      <c r="B338" s="23">
        <v>46283</v>
      </c>
      <c r="C338" s="8" t="s">
        <v>113</v>
      </c>
      <c r="D338" s="8" t="s">
        <v>67</v>
      </c>
      <c r="E338" s="8" t="s">
        <v>100</v>
      </c>
      <c r="F338" s="8" t="s">
        <v>38</v>
      </c>
      <c r="G338" s="8" t="s">
        <v>101</v>
      </c>
      <c r="H338" s="8" t="s">
        <v>62</v>
      </c>
      <c r="I338" s="8" t="s">
        <v>117</v>
      </c>
      <c r="J338" s="8">
        <v>145</v>
      </c>
      <c r="K338" s="8">
        <v>134</v>
      </c>
      <c r="L338" s="8">
        <v>100</v>
      </c>
      <c r="M338" s="24">
        <v>4.2</v>
      </c>
      <c r="N338" s="15">
        <v>25500</v>
      </c>
      <c r="O338" s="15">
        <v>28000</v>
      </c>
      <c r="P338" s="8" t="s">
        <v>64</v>
      </c>
      <c r="Q338" s="8" t="s">
        <v>86</v>
      </c>
    </row>
    <row r="339" spans="1:17" ht="16" x14ac:dyDescent="0.45">
      <c r="A339" s="8" t="s">
        <v>518</v>
      </c>
      <c r="B339" s="23">
        <v>46283</v>
      </c>
      <c r="C339" s="8" t="s">
        <v>113</v>
      </c>
      <c r="D339" s="8" t="s">
        <v>67</v>
      </c>
      <c r="E339" s="8" t="s">
        <v>129</v>
      </c>
      <c r="F339" s="8" t="s">
        <v>40</v>
      </c>
      <c r="G339" s="8" t="s">
        <v>69</v>
      </c>
      <c r="H339" s="8" t="s">
        <v>77</v>
      </c>
      <c r="I339" s="8" t="s">
        <v>78</v>
      </c>
      <c r="J339" s="8">
        <v>302</v>
      </c>
      <c r="K339" s="8">
        <v>178</v>
      </c>
      <c r="L339" s="8">
        <v>49</v>
      </c>
      <c r="M339" s="24">
        <v>3.7</v>
      </c>
      <c r="N339" s="15">
        <v>76500</v>
      </c>
      <c r="O339" s="15">
        <v>71300</v>
      </c>
      <c r="P339" s="8" t="s">
        <v>64</v>
      </c>
      <c r="Q339" s="8" t="s">
        <v>142</v>
      </c>
    </row>
    <row r="340" spans="1:17" ht="16" x14ac:dyDescent="0.45">
      <c r="A340" s="8" t="s">
        <v>519</v>
      </c>
      <c r="B340" s="23">
        <v>46285</v>
      </c>
      <c r="C340" s="8" t="s">
        <v>145</v>
      </c>
      <c r="D340" s="8" t="s">
        <v>59</v>
      </c>
      <c r="E340" s="8" t="s">
        <v>82</v>
      </c>
      <c r="F340" s="8" t="s">
        <v>39</v>
      </c>
      <c r="G340" s="8" t="s">
        <v>83</v>
      </c>
      <c r="H340" s="8" t="s">
        <v>84</v>
      </c>
      <c r="I340" s="8" t="s">
        <v>71</v>
      </c>
      <c r="J340" s="8">
        <v>174</v>
      </c>
      <c r="K340" s="8">
        <v>0</v>
      </c>
      <c r="L340" s="8">
        <v>0</v>
      </c>
      <c r="M340" s="24"/>
      <c r="N340" s="15">
        <v>26500</v>
      </c>
      <c r="O340" s="15">
        <v>2650</v>
      </c>
      <c r="P340" s="8" t="s">
        <v>96</v>
      </c>
      <c r="Q340" s="8" t="s">
        <v>196</v>
      </c>
    </row>
    <row r="341" spans="1:17" ht="16" x14ac:dyDescent="0.45">
      <c r="A341" s="8" t="s">
        <v>520</v>
      </c>
      <c r="B341" s="23">
        <v>46290</v>
      </c>
      <c r="C341" s="8" t="s">
        <v>113</v>
      </c>
      <c r="D341" s="8" t="s">
        <v>59</v>
      </c>
      <c r="E341" s="8" t="s">
        <v>132</v>
      </c>
      <c r="F341" s="8" t="s">
        <v>37</v>
      </c>
      <c r="G341" s="8" t="s">
        <v>89</v>
      </c>
      <c r="H341" s="8" t="s">
        <v>84</v>
      </c>
      <c r="I341" s="8" t="s">
        <v>63</v>
      </c>
      <c r="J341" s="8">
        <v>43</v>
      </c>
      <c r="K341" s="8"/>
      <c r="L341" s="8"/>
      <c r="M341" s="24"/>
      <c r="N341" s="15">
        <v>11500</v>
      </c>
      <c r="O341" s="15"/>
      <c r="P341" s="8" t="s">
        <v>521</v>
      </c>
      <c r="Q341" s="8" t="s">
        <v>65</v>
      </c>
    </row>
    <row r="342" spans="1:17" ht="16" x14ac:dyDescent="0.45">
      <c r="A342" s="8" t="s">
        <v>522</v>
      </c>
      <c r="B342" s="23">
        <v>46291</v>
      </c>
      <c r="C342" s="8" t="s">
        <v>81</v>
      </c>
      <c r="D342" s="8" t="s">
        <v>59</v>
      </c>
      <c r="E342" s="8" t="s">
        <v>172</v>
      </c>
      <c r="F342" s="8" t="s">
        <v>37</v>
      </c>
      <c r="G342" s="8" t="s">
        <v>89</v>
      </c>
      <c r="H342" s="8" t="s">
        <v>62</v>
      </c>
      <c r="I342" s="8" t="s">
        <v>117</v>
      </c>
      <c r="J342" s="8">
        <v>91</v>
      </c>
      <c r="K342" s="8"/>
      <c r="L342" s="8"/>
      <c r="M342" s="24"/>
      <c r="N342" s="15">
        <v>47000</v>
      </c>
      <c r="O342" s="15"/>
      <c r="P342" s="8" t="s">
        <v>521</v>
      </c>
      <c r="Q342" s="8" t="s">
        <v>523</v>
      </c>
    </row>
    <row r="343" spans="1:17" ht="16" x14ac:dyDescent="0.45">
      <c r="A343" s="8" t="s">
        <v>524</v>
      </c>
      <c r="B343" s="23">
        <v>46292</v>
      </c>
      <c r="C343" s="8" t="s">
        <v>145</v>
      </c>
      <c r="D343" s="8" t="s">
        <v>59</v>
      </c>
      <c r="E343" s="8" t="s">
        <v>123</v>
      </c>
      <c r="F343" s="8" t="s">
        <v>38</v>
      </c>
      <c r="G343" s="8" t="s">
        <v>101</v>
      </c>
      <c r="H343" s="8" t="s">
        <v>62</v>
      </c>
      <c r="I343" s="8" t="s">
        <v>117</v>
      </c>
      <c r="J343" s="8">
        <v>139</v>
      </c>
      <c r="K343" s="8"/>
      <c r="L343" s="8"/>
      <c r="M343" s="24"/>
      <c r="N343" s="15">
        <v>71500</v>
      </c>
      <c r="O343" s="15"/>
      <c r="P343" s="8" t="s">
        <v>521</v>
      </c>
      <c r="Q343" s="8" t="s">
        <v>93</v>
      </c>
    </row>
    <row r="344" spans="1:17" ht="16" x14ac:dyDescent="0.45">
      <c r="A344" s="8" t="s">
        <v>525</v>
      </c>
      <c r="B344" s="23">
        <v>46292</v>
      </c>
      <c r="C344" s="8" t="s">
        <v>145</v>
      </c>
      <c r="D344" s="8" t="s">
        <v>59</v>
      </c>
      <c r="E344" s="8" t="s">
        <v>100</v>
      </c>
      <c r="F344" s="8" t="s">
        <v>38</v>
      </c>
      <c r="G344" s="8" t="s">
        <v>101</v>
      </c>
      <c r="H344" s="8" t="s">
        <v>62</v>
      </c>
      <c r="I344" s="8" t="s">
        <v>104</v>
      </c>
      <c r="J344" s="8">
        <v>77</v>
      </c>
      <c r="K344" s="8"/>
      <c r="L344" s="8"/>
      <c r="M344" s="24"/>
      <c r="N344" s="15">
        <v>44500</v>
      </c>
      <c r="O344" s="15"/>
      <c r="P344" s="8" t="s">
        <v>521</v>
      </c>
      <c r="Q344" s="8" t="s">
        <v>282</v>
      </c>
    </row>
    <row r="345" spans="1:17" ht="16" x14ac:dyDescent="0.45">
      <c r="A345" s="8" t="s">
        <v>526</v>
      </c>
      <c r="B345" s="23">
        <v>46294</v>
      </c>
      <c r="C345" s="8" t="s">
        <v>99</v>
      </c>
      <c r="D345" s="8" t="s">
        <v>59</v>
      </c>
      <c r="E345" s="8" t="s">
        <v>247</v>
      </c>
      <c r="F345" s="8" t="s">
        <v>36</v>
      </c>
      <c r="G345" s="8" t="s">
        <v>108</v>
      </c>
      <c r="H345" s="8" t="s">
        <v>167</v>
      </c>
      <c r="I345" s="8" t="s">
        <v>71</v>
      </c>
      <c r="J345" s="8">
        <v>77</v>
      </c>
      <c r="K345" s="8"/>
      <c r="L345" s="8"/>
      <c r="M345" s="24"/>
      <c r="N345" s="15">
        <v>28000</v>
      </c>
      <c r="O345" s="15"/>
      <c r="P345" s="8" t="s">
        <v>521</v>
      </c>
      <c r="Q345" s="8" t="s">
        <v>127</v>
      </c>
    </row>
  </sheetData>
  <autoFilter ref="A1:Q345"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L61"/>
  <sheetViews>
    <sheetView zoomScaleNormal="100" workbookViewId="0">
      <pane ySplit="1" topLeftCell="A2" activePane="bottomLeft" state="frozen"/>
      <selection pane="bottomLeft"/>
    </sheetView>
  </sheetViews>
  <sheetFormatPr defaultColWidth="8.6328125" defaultRowHeight="14.5" x14ac:dyDescent="0.35"/>
  <cols>
    <col min="1" max="1" width="13" customWidth="1"/>
    <col min="2" max="2" width="12" customWidth="1"/>
    <col min="3" max="3" width="26" customWidth="1"/>
    <col min="4" max="4" width="13" customWidth="1"/>
    <col min="5" max="5" width="11" customWidth="1"/>
    <col min="6" max="6" width="10" customWidth="1"/>
    <col min="7" max="7" width="19" customWidth="1"/>
    <col min="8" max="8" width="28" customWidth="1"/>
    <col min="9" max="9" width="23" customWidth="1"/>
    <col min="10" max="10" width="22" customWidth="1"/>
    <col min="11" max="11" width="25" customWidth="1"/>
    <col min="12" max="12" width="10" customWidth="1"/>
  </cols>
  <sheetData>
    <row r="1" spans="1:12" ht="30" customHeight="1" x14ac:dyDescent="0.35">
      <c r="A1" s="22" t="s">
        <v>527</v>
      </c>
      <c r="B1" s="22" t="s">
        <v>528</v>
      </c>
      <c r="C1" s="22" t="s">
        <v>529</v>
      </c>
      <c r="D1" s="22" t="s">
        <v>530</v>
      </c>
      <c r="E1" s="22" t="s">
        <v>48</v>
      </c>
      <c r="F1" s="22" t="s">
        <v>531</v>
      </c>
      <c r="G1" s="22" t="s">
        <v>532</v>
      </c>
      <c r="H1" s="22" t="s">
        <v>533</v>
      </c>
      <c r="I1" s="22" t="s">
        <v>534</v>
      </c>
      <c r="J1" s="22" t="s">
        <v>535</v>
      </c>
      <c r="K1" s="22" t="s">
        <v>536</v>
      </c>
      <c r="L1" s="22" t="s">
        <v>537</v>
      </c>
    </row>
    <row r="2" spans="1:12" ht="16" x14ac:dyDescent="0.45">
      <c r="A2" s="8" t="s">
        <v>142</v>
      </c>
      <c r="B2" s="23">
        <v>44758</v>
      </c>
      <c r="C2" s="8" t="s">
        <v>538</v>
      </c>
      <c r="D2" s="8" t="s">
        <v>539</v>
      </c>
      <c r="E2" s="8" t="s">
        <v>62</v>
      </c>
      <c r="F2" s="8" t="s">
        <v>540</v>
      </c>
      <c r="G2" s="8">
        <v>23</v>
      </c>
      <c r="H2" s="8">
        <v>7</v>
      </c>
      <c r="I2" s="8">
        <v>319</v>
      </c>
      <c r="J2" s="8">
        <v>16</v>
      </c>
      <c r="K2" s="8">
        <v>0</v>
      </c>
      <c r="L2" s="8" t="s">
        <v>541</v>
      </c>
    </row>
    <row r="3" spans="1:12" ht="16" x14ac:dyDescent="0.45">
      <c r="A3" s="8" t="s">
        <v>111</v>
      </c>
      <c r="B3" s="23">
        <v>45730</v>
      </c>
      <c r="C3" s="8" t="s">
        <v>542</v>
      </c>
      <c r="D3" s="8" t="s">
        <v>543</v>
      </c>
      <c r="E3" s="8" t="s">
        <v>62</v>
      </c>
      <c r="F3" s="8" t="s">
        <v>544</v>
      </c>
      <c r="G3" s="8">
        <v>31</v>
      </c>
      <c r="H3" s="8">
        <v>14</v>
      </c>
      <c r="I3" s="8">
        <v>330</v>
      </c>
      <c r="J3" s="8">
        <v>51</v>
      </c>
      <c r="K3" s="8">
        <v>14</v>
      </c>
      <c r="L3" s="8" t="s">
        <v>541</v>
      </c>
    </row>
    <row r="4" spans="1:12" ht="16" x14ac:dyDescent="0.45">
      <c r="A4" s="8" t="s">
        <v>65</v>
      </c>
      <c r="B4" s="23">
        <v>44804</v>
      </c>
      <c r="C4" s="8" t="s">
        <v>545</v>
      </c>
      <c r="D4" s="8" t="s">
        <v>546</v>
      </c>
      <c r="E4" s="8" t="s">
        <v>84</v>
      </c>
      <c r="F4" s="8" t="s">
        <v>544</v>
      </c>
      <c r="G4" s="8">
        <v>28</v>
      </c>
      <c r="H4" s="8">
        <v>20</v>
      </c>
      <c r="I4" s="8">
        <v>333</v>
      </c>
      <c r="J4" s="8">
        <v>53</v>
      </c>
      <c r="K4" s="8">
        <v>4</v>
      </c>
      <c r="L4" s="8" t="s">
        <v>541</v>
      </c>
    </row>
    <row r="5" spans="1:12" ht="16" x14ac:dyDescent="0.45">
      <c r="A5" s="8" t="s">
        <v>127</v>
      </c>
      <c r="B5" s="23">
        <v>44967</v>
      </c>
      <c r="C5" s="8" t="s">
        <v>545</v>
      </c>
      <c r="D5" s="8" t="s">
        <v>543</v>
      </c>
      <c r="E5" s="8" t="s">
        <v>156</v>
      </c>
      <c r="F5" s="8" t="s">
        <v>544</v>
      </c>
      <c r="G5" s="8">
        <v>22</v>
      </c>
      <c r="H5" s="8">
        <v>9</v>
      </c>
      <c r="I5" s="8">
        <v>348</v>
      </c>
      <c r="J5" s="8">
        <v>32</v>
      </c>
      <c r="K5" s="8">
        <v>6</v>
      </c>
      <c r="L5" s="8" t="s">
        <v>547</v>
      </c>
    </row>
    <row r="6" spans="1:12" ht="16" x14ac:dyDescent="0.45">
      <c r="A6" s="8" t="s">
        <v>118</v>
      </c>
      <c r="B6" s="23">
        <v>45861</v>
      </c>
      <c r="C6" s="8" t="s">
        <v>548</v>
      </c>
      <c r="D6" s="8" t="s">
        <v>546</v>
      </c>
      <c r="E6" s="8" t="s">
        <v>70</v>
      </c>
      <c r="F6" s="8" t="s">
        <v>544</v>
      </c>
      <c r="G6" s="8">
        <v>36</v>
      </c>
      <c r="H6" s="8">
        <v>20</v>
      </c>
      <c r="I6" s="8">
        <v>192</v>
      </c>
      <c r="J6" s="8">
        <v>32</v>
      </c>
      <c r="K6" s="8">
        <v>6</v>
      </c>
      <c r="L6" s="8" t="s">
        <v>541</v>
      </c>
    </row>
    <row r="7" spans="1:12" ht="16" x14ac:dyDescent="0.45">
      <c r="A7" s="8" t="s">
        <v>93</v>
      </c>
      <c r="B7" s="23">
        <v>44594</v>
      </c>
      <c r="C7" s="8" t="s">
        <v>549</v>
      </c>
      <c r="D7" s="8" t="s">
        <v>543</v>
      </c>
      <c r="E7" s="8" t="s">
        <v>156</v>
      </c>
      <c r="F7" s="8" t="s">
        <v>544</v>
      </c>
      <c r="G7" s="8">
        <v>30</v>
      </c>
      <c r="H7" s="8">
        <v>18</v>
      </c>
      <c r="I7" s="8">
        <v>216</v>
      </c>
      <c r="J7" s="8">
        <v>9</v>
      </c>
      <c r="K7" s="8">
        <v>14</v>
      </c>
      <c r="L7" s="8" t="s">
        <v>541</v>
      </c>
    </row>
    <row r="8" spans="1:12" ht="16" x14ac:dyDescent="0.45">
      <c r="A8" s="8" t="s">
        <v>137</v>
      </c>
      <c r="B8" s="23">
        <v>45432</v>
      </c>
      <c r="C8" s="8" t="s">
        <v>545</v>
      </c>
      <c r="D8" s="8" t="s">
        <v>550</v>
      </c>
      <c r="E8" s="8" t="s">
        <v>84</v>
      </c>
      <c r="F8" s="8" t="s">
        <v>544</v>
      </c>
      <c r="G8" s="8">
        <v>25</v>
      </c>
      <c r="H8" s="8">
        <v>28</v>
      </c>
      <c r="I8" s="8">
        <v>366</v>
      </c>
      <c r="J8" s="8">
        <v>33</v>
      </c>
      <c r="K8" s="8">
        <v>2</v>
      </c>
      <c r="L8" s="8" t="s">
        <v>541</v>
      </c>
    </row>
    <row r="9" spans="1:12" ht="16" x14ac:dyDescent="0.45">
      <c r="A9" s="8" t="s">
        <v>86</v>
      </c>
      <c r="B9" s="23">
        <v>45925</v>
      </c>
      <c r="C9" s="8" t="s">
        <v>542</v>
      </c>
      <c r="D9" s="8" t="s">
        <v>543</v>
      </c>
      <c r="E9" s="8" t="s">
        <v>70</v>
      </c>
      <c r="F9" s="8" t="s">
        <v>544</v>
      </c>
      <c r="G9" s="8">
        <v>22</v>
      </c>
      <c r="H9" s="8">
        <v>6</v>
      </c>
      <c r="I9" s="8">
        <v>353</v>
      </c>
      <c r="J9" s="8">
        <v>31</v>
      </c>
      <c r="K9" s="8">
        <v>4</v>
      </c>
      <c r="L9" s="8" t="s">
        <v>541</v>
      </c>
    </row>
    <row r="10" spans="1:12" ht="16" x14ac:dyDescent="0.45">
      <c r="A10" s="8" t="s">
        <v>185</v>
      </c>
      <c r="B10" s="23">
        <v>46158</v>
      </c>
      <c r="C10" s="8" t="s">
        <v>551</v>
      </c>
      <c r="D10" s="8" t="s">
        <v>550</v>
      </c>
      <c r="E10" s="8" t="s">
        <v>84</v>
      </c>
      <c r="F10" s="8" t="s">
        <v>552</v>
      </c>
      <c r="G10" s="8">
        <v>2</v>
      </c>
      <c r="H10" s="8">
        <v>22</v>
      </c>
      <c r="I10" s="8">
        <v>100</v>
      </c>
      <c r="J10" s="8">
        <v>68</v>
      </c>
      <c r="K10" s="8">
        <v>4</v>
      </c>
      <c r="L10" s="8" t="s">
        <v>541</v>
      </c>
    </row>
    <row r="11" spans="1:12" ht="16" x14ac:dyDescent="0.45">
      <c r="A11" s="8" t="s">
        <v>253</v>
      </c>
      <c r="B11" s="23">
        <v>45501</v>
      </c>
      <c r="C11" s="8" t="s">
        <v>549</v>
      </c>
      <c r="D11" s="8" t="s">
        <v>546</v>
      </c>
      <c r="E11" s="8" t="s">
        <v>146</v>
      </c>
      <c r="F11" s="8" t="s">
        <v>552</v>
      </c>
      <c r="G11" s="8">
        <v>3</v>
      </c>
      <c r="H11" s="8">
        <v>19</v>
      </c>
      <c r="I11" s="8">
        <v>33</v>
      </c>
      <c r="J11" s="8">
        <v>26</v>
      </c>
      <c r="K11" s="8">
        <v>10</v>
      </c>
      <c r="L11" s="8" t="s">
        <v>541</v>
      </c>
    </row>
    <row r="12" spans="1:12" ht="16" x14ac:dyDescent="0.45">
      <c r="A12" s="8" t="s">
        <v>234</v>
      </c>
      <c r="B12" s="23">
        <v>45454</v>
      </c>
      <c r="C12" s="8" t="s">
        <v>553</v>
      </c>
      <c r="D12" s="8" t="s">
        <v>543</v>
      </c>
      <c r="E12" s="8" t="s">
        <v>62</v>
      </c>
      <c r="F12" s="8" t="s">
        <v>552</v>
      </c>
      <c r="G12" s="8">
        <v>6</v>
      </c>
      <c r="H12" s="8">
        <v>10</v>
      </c>
      <c r="I12" s="8">
        <v>124</v>
      </c>
      <c r="J12" s="8">
        <v>56</v>
      </c>
      <c r="K12" s="8">
        <v>2</v>
      </c>
      <c r="L12" s="8" t="s">
        <v>541</v>
      </c>
    </row>
    <row r="13" spans="1:12" ht="16" x14ac:dyDescent="0.45">
      <c r="A13" s="8" t="s">
        <v>133</v>
      </c>
      <c r="B13" s="23">
        <v>45657</v>
      </c>
      <c r="C13" s="8" t="s">
        <v>542</v>
      </c>
      <c r="D13" s="8" t="s">
        <v>546</v>
      </c>
      <c r="E13" s="8" t="s">
        <v>167</v>
      </c>
      <c r="F13" s="8" t="s">
        <v>552</v>
      </c>
      <c r="G13" s="8">
        <v>1</v>
      </c>
      <c r="H13" s="8">
        <v>10</v>
      </c>
      <c r="I13" s="8">
        <v>59</v>
      </c>
      <c r="J13" s="8">
        <v>19</v>
      </c>
      <c r="K13" s="8">
        <v>4</v>
      </c>
      <c r="L13" s="8" t="s">
        <v>541</v>
      </c>
    </row>
    <row r="14" spans="1:12" ht="16" x14ac:dyDescent="0.45">
      <c r="A14" s="8" t="s">
        <v>383</v>
      </c>
      <c r="B14" s="23">
        <v>45760</v>
      </c>
      <c r="C14" s="8" t="s">
        <v>548</v>
      </c>
      <c r="D14" s="8" t="s">
        <v>543</v>
      </c>
      <c r="E14" s="8" t="s">
        <v>70</v>
      </c>
      <c r="F14" s="8" t="s">
        <v>552</v>
      </c>
      <c r="G14" s="8">
        <v>3</v>
      </c>
      <c r="H14" s="8">
        <v>29</v>
      </c>
      <c r="I14" s="8">
        <v>135</v>
      </c>
      <c r="J14" s="8">
        <v>19</v>
      </c>
      <c r="K14" s="8">
        <v>2</v>
      </c>
      <c r="L14" s="8" t="s">
        <v>541</v>
      </c>
    </row>
    <row r="15" spans="1:12" ht="16" x14ac:dyDescent="0.45">
      <c r="A15" s="8" t="s">
        <v>466</v>
      </c>
      <c r="B15" s="23">
        <v>45443</v>
      </c>
      <c r="C15" s="8" t="s">
        <v>553</v>
      </c>
      <c r="D15" s="8" t="s">
        <v>543</v>
      </c>
      <c r="E15" s="8" t="s">
        <v>183</v>
      </c>
      <c r="F15" s="8" t="s">
        <v>552</v>
      </c>
      <c r="G15" s="8">
        <v>1</v>
      </c>
      <c r="H15" s="8">
        <v>12</v>
      </c>
      <c r="I15" s="8">
        <v>30</v>
      </c>
      <c r="J15" s="8">
        <v>31</v>
      </c>
      <c r="K15" s="8">
        <v>10</v>
      </c>
      <c r="L15" s="8" t="s">
        <v>541</v>
      </c>
    </row>
    <row r="16" spans="1:12" ht="16" x14ac:dyDescent="0.45">
      <c r="A16" s="8" t="s">
        <v>411</v>
      </c>
      <c r="B16" s="23">
        <v>46015</v>
      </c>
      <c r="C16" s="8" t="s">
        <v>554</v>
      </c>
      <c r="D16" s="8" t="s">
        <v>543</v>
      </c>
      <c r="E16" s="8" t="s">
        <v>62</v>
      </c>
      <c r="F16" s="8" t="s">
        <v>552</v>
      </c>
      <c r="G16" s="8">
        <v>1</v>
      </c>
      <c r="H16" s="8">
        <v>29</v>
      </c>
      <c r="I16" s="8">
        <v>83</v>
      </c>
      <c r="J16" s="8">
        <v>40</v>
      </c>
      <c r="K16" s="8">
        <v>4</v>
      </c>
      <c r="L16" s="8" t="s">
        <v>541</v>
      </c>
    </row>
    <row r="17" spans="1:12" ht="16" x14ac:dyDescent="0.45">
      <c r="A17" s="8" t="s">
        <v>555</v>
      </c>
      <c r="B17" s="23">
        <v>44728</v>
      </c>
      <c r="C17" s="8" t="s">
        <v>538</v>
      </c>
      <c r="D17" s="8" t="s">
        <v>543</v>
      </c>
      <c r="E17" s="8" t="s">
        <v>146</v>
      </c>
      <c r="F17" s="8" t="s">
        <v>552</v>
      </c>
      <c r="G17" s="8">
        <v>0</v>
      </c>
      <c r="H17" s="8">
        <v>11</v>
      </c>
      <c r="I17" s="8">
        <v>25</v>
      </c>
      <c r="J17" s="8">
        <v>10</v>
      </c>
      <c r="K17" s="8">
        <v>0</v>
      </c>
      <c r="L17" s="8" t="s">
        <v>541</v>
      </c>
    </row>
    <row r="18" spans="1:12" ht="16" x14ac:dyDescent="0.45">
      <c r="A18" s="8" t="s">
        <v>337</v>
      </c>
      <c r="B18" s="23">
        <v>45119</v>
      </c>
      <c r="C18" s="8" t="s">
        <v>556</v>
      </c>
      <c r="D18" s="8" t="s">
        <v>539</v>
      </c>
      <c r="E18" s="8" t="s">
        <v>62</v>
      </c>
      <c r="F18" s="8" t="s">
        <v>552</v>
      </c>
      <c r="G18" s="8">
        <v>1</v>
      </c>
      <c r="H18" s="8">
        <v>8</v>
      </c>
      <c r="I18" s="8">
        <v>93</v>
      </c>
      <c r="J18" s="8">
        <v>18</v>
      </c>
      <c r="K18" s="8">
        <v>14</v>
      </c>
      <c r="L18" s="8" t="s">
        <v>541</v>
      </c>
    </row>
    <row r="19" spans="1:12" ht="16" x14ac:dyDescent="0.45">
      <c r="A19" s="8" t="s">
        <v>266</v>
      </c>
      <c r="B19" s="23">
        <v>45217</v>
      </c>
      <c r="C19" s="8" t="s">
        <v>557</v>
      </c>
      <c r="D19" s="8" t="s">
        <v>543</v>
      </c>
      <c r="E19" s="8" t="s">
        <v>62</v>
      </c>
      <c r="F19" s="8" t="s">
        <v>552</v>
      </c>
      <c r="G19" s="8">
        <v>2</v>
      </c>
      <c r="H19" s="8">
        <v>28</v>
      </c>
      <c r="I19" s="8">
        <v>32</v>
      </c>
      <c r="J19" s="8">
        <v>49</v>
      </c>
      <c r="K19" s="8">
        <v>10</v>
      </c>
      <c r="L19" s="8" t="s">
        <v>541</v>
      </c>
    </row>
    <row r="20" spans="1:12" ht="16" x14ac:dyDescent="0.45">
      <c r="A20" s="8" t="s">
        <v>434</v>
      </c>
      <c r="B20" s="23">
        <v>45844</v>
      </c>
      <c r="C20" s="8" t="s">
        <v>558</v>
      </c>
      <c r="D20" s="8" t="s">
        <v>543</v>
      </c>
      <c r="E20" s="8" t="s">
        <v>167</v>
      </c>
      <c r="F20" s="8" t="s">
        <v>552</v>
      </c>
      <c r="G20" s="8">
        <v>1</v>
      </c>
      <c r="H20" s="8">
        <v>18</v>
      </c>
      <c r="I20" s="8">
        <v>96</v>
      </c>
      <c r="J20" s="8">
        <v>23</v>
      </c>
      <c r="K20" s="8">
        <v>10</v>
      </c>
      <c r="L20" s="8" t="s">
        <v>541</v>
      </c>
    </row>
    <row r="21" spans="1:12" ht="16" x14ac:dyDescent="0.45">
      <c r="A21" s="8" t="s">
        <v>140</v>
      </c>
      <c r="B21" s="23">
        <v>45444</v>
      </c>
      <c r="C21" s="8" t="s">
        <v>548</v>
      </c>
      <c r="D21" s="8" t="s">
        <v>546</v>
      </c>
      <c r="E21" s="8" t="s">
        <v>62</v>
      </c>
      <c r="F21" s="8" t="s">
        <v>552</v>
      </c>
      <c r="G21" s="8">
        <v>5</v>
      </c>
      <c r="H21" s="8">
        <v>27</v>
      </c>
      <c r="I21" s="8">
        <v>36</v>
      </c>
      <c r="J21" s="8">
        <v>30</v>
      </c>
      <c r="K21" s="8">
        <v>6</v>
      </c>
      <c r="L21" s="8" t="s">
        <v>541</v>
      </c>
    </row>
    <row r="22" spans="1:12" ht="16" x14ac:dyDescent="0.45">
      <c r="A22" s="8" t="s">
        <v>559</v>
      </c>
      <c r="B22" s="23">
        <v>45270</v>
      </c>
      <c r="C22" s="8" t="s">
        <v>549</v>
      </c>
      <c r="D22" s="8" t="s">
        <v>550</v>
      </c>
      <c r="E22" s="8" t="s">
        <v>62</v>
      </c>
      <c r="F22" s="8" t="s">
        <v>552</v>
      </c>
      <c r="G22" s="8">
        <v>0</v>
      </c>
      <c r="H22" s="8">
        <v>14</v>
      </c>
      <c r="I22" s="8">
        <v>71</v>
      </c>
      <c r="J22" s="8">
        <v>65</v>
      </c>
      <c r="K22" s="8">
        <v>0</v>
      </c>
      <c r="L22" s="8" t="s">
        <v>541</v>
      </c>
    </row>
    <row r="23" spans="1:12" ht="16" x14ac:dyDescent="0.45">
      <c r="A23" s="8" t="s">
        <v>271</v>
      </c>
      <c r="B23" s="23">
        <v>45198</v>
      </c>
      <c r="C23" s="8" t="s">
        <v>542</v>
      </c>
      <c r="D23" s="8" t="s">
        <v>539</v>
      </c>
      <c r="E23" s="8" t="s">
        <v>62</v>
      </c>
      <c r="F23" s="8" t="s">
        <v>552</v>
      </c>
      <c r="G23" s="8">
        <v>1</v>
      </c>
      <c r="H23" s="8">
        <v>14</v>
      </c>
      <c r="I23" s="8">
        <v>61</v>
      </c>
      <c r="J23" s="8">
        <v>32</v>
      </c>
      <c r="K23" s="8">
        <v>14</v>
      </c>
      <c r="L23" s="8" t="s">
        <v>541</v>
      </c>
    </row>
    <row r="24" spans="1:12" ht="16" x14ac:dyDescent="0.45">
      <c r="A24" s="8" t="s">
        <v>287</v>
      </c>
      <c r="B24" s="23">
        <v>45068</v>
      </c>
      <c r="C24" s="8" t="s">
        <v>542</v>
      </c>
      <c r="D24" s="8" t="s">
        <v>546</v>
      </c>
      <c r="E24" s="8" t="s">
        <v>70</v>
      </c>
      <c r="F24" s="8" t="s">
        <v>552</v>
      </c>
      <c r="G24" s="8">
        <v>1</v>
      </c>
      <c r="H24" s="8">
        <v>15</v>
      </c>
      <c r="I24" s="8">
        <v>131</v>
      </c>
      <c r="J24" s="8">
        <v>27</v>
      </c>
      <c r="K24" s="8">
        <v>20</v>
      </c>
      <c r="L24" s="8" t="s">
        <v>541</v>
      </c>
    </row>
    <row r="25" spans="1:12" ht="16" x14ac:dyDescent="0.45">
      <c r="A25" s="8" t="s">
        <v>327</v>
      </c>
      <c r="B25" s="23">
        <v>45371</v>
      </c>
      <c r="C25" s="8" t="s">
        <v>548</v>
      </c>
      <c r="D25" s="8" t="s">
        <v>550</v>
      </c>
      <c r="E25" s="8" t="s">
        <v>84</v>
      </c>
      <c r="F25" s="8" t="s">
        <v>552</v>
      </c>
      <c r="G25" s="8">
        <v>3</v>
      </c>
      <c r="H25" s="8">
        <v>25</v>
      </c>
      <c r="I25" s="8">
        <v>98</v>
      </c>
      <c r="J25" s="8">
        <v>41</v>
      </c>
      <c r="K25" s="8">
        <v>14</v>
      </c>
      <c r="L25" s="8" t="s">
        <v>541</v>
      </c>
    </row>
    <row r="26" spans="1:12" ht="16" x14ac:dyDescent="0.45">
      <c r="A26" s="8" t="s">
        <v>331</v>
      </c>
      <c r="B26" s="23">
        <v>45968</v>
      </c>
      <c r="C26" s="8" t="s">
        <v>538</v>
      </c>
      <c r="D26" s="8" t="s">
        <v>550</v>
      </c>
      <c r="E26" s="8" t="s">
        <v>84</v>
      </c>
      <c r="F26" s="8" t="s">
        <v>552</v>
      </c>
      <c r="G26" s="8">
        <v>3</v>
      </c>
      <c r="H26" s="8">
        <v>28</v>
      </c>
      <c r="I26" s="8">
        <v>94</v>
      </c>
      <c r="J26" s="8">
        <v>32</v>
      </c>
      <c r="K26" s="8">
        <v>4</v>
      </c>
      <c r="L26" s="8" t="s">
        <v>541</v>
      </c>
    </row>
    <row r="27" spans="1:12" ht="16" x14ac:dyDescent="0.45">
      <c r="A27" s="8" t="s">
        <v>196</v>
      </c>
      <c r="B27" s="23">
        <v>45016</v>
      </c>
      <c r="C27" s="8" t="s">
        <v>551</v>
      </c>
      <c r="D27" s="8" t="s">
        <v>543</v>
      </c>
      <c r="E27" s="8" t="s">
        <v>62</v>
      </c>
      <c r="F27" s="8" t="s">
        <v>552</v>
      </c>
      <c r="G27" s="8">
        <v>5</v>
      </c>
      <c r="H27" s="8">
        <v>8</v>
      </c>
      <c r="I27" s="8">
        <v>129</v>
      </c>
      <c r="J27" s="8">
        <v>18</v>
      </c>
      <c r="K27" s="8">
        <v>2</v>
      </c>
      <c r="L27" s="8" t="s">
        <v>541</v>
      </c>
    </row>
    <row r="28" spans="1:12" ht="16" x14ac:dyDescent="0.45">
      <c r="A28" s="8" t="s">
        <v>79</v>
      </c>
      <c r="B28" s="23">
        <v>45981</v>
      </c>
      <c r="C28" s="8" t="s">
        <v>549</v>
      </c>
      <c r="D28" s="8" t="s">
        <v>539</v>
      </c>
      <c r="E28" s="8" t="s">
        <v>62</v>
      </c>
      <c r="F28" s="8" t="s">
        <v>552</v>
      </c>
      <c r="G28" s="8">
        <v>3</v>
      </c>
      <c r="H28" s="8">
        <v>21</v>
      </c>
      <c r="I28" s="8">
        <v>24</v>
      </c>
      <c r="J28" s="8">
        <v>33</v>
      </c>
      <c r="K28" s="8">
        <v>20</v>
      </c>
      <c r="L28" s="8" t="s">
        <v>541</v>
      </c>
    </row>
    <row r="29" spans="1:12" ht="16" x14ac:dyDescent="0.45">
      <c r="A29" s="8" t="s">
        <v>351</v>
      </c>
      <c r="B29" s="23">
        <v>45950</v>
      </c>
      <c r="C29" s="8" t="s">
        <v>548</v>
      </c>
      <c r="D29" s="8" t="s">
        <v>543</v>
      </c>
      <c r="E29" s="8" t="s">
        <v>62</v>
      </c>
      <c r="F29" s="8" t="s">
        <v>552</v>
      </c>
      <c r="G29" s="8">
        <v>1</v>
      </c>
      <c r="H29" s="8">
        <v>27</v>
      </c>
      <c r="I29" s="8">
        <v>58</v>
      </c>
      <c r="J29" s="8">
        <v>13</v>
      </c>
      <c r="K29" s="8">
        <v>2</v>
      </c>
      <c r="L29" s="8" t="s">
        <v>541</v>
      </c>
    </row>
    <row r="30" spans="1:12" ht="16" x14ac:dyDescent="0.45">
      <c r="A30" s="8" t="s">
        <v>224</v>
      </c>
      <c r="B30" s="23">
        <v>45091</v>
      </c>
      <c r="C30" s="8" t="s">
        <v>553</v>
      </c>
      <c r="D30" s="8" t="s">
        <v>550</v>
      </c>
      <c r="E30" s="8" t="s">
        <v>62</v>
      </c>
      <c r="F30" s="8" t="s">
        <v>552</v>
      </c>
      <c r="G30" s="8">
        <v>4</v>
      </c>
      <c r="H30" s="8">
        <v>28</v>
      </c>
      <c r="I30" s="8">
        <v>43</v>
      </c>
      <c r="J30" s="8">
        <v>61</v>
      </c>
      <c r="K30" s="8">
        <v>20</v>
      </c>
      <c r="L30" s="8" t="s">
        <v>541</v>
      </c>
    </row>
    <row r="31" spans="1:12" ht="16" x14ac:dyDescent="0.45">
      <c r="A31" s="8" t="s">
        <v>159</v>
      </c>
      <c r="B31" s="23">
        <v>45473</v>
      </c>
      <c r="C31" s="8" t="s">
        <v>542</v>
      </c>
      <c r="D31" s="8" t="s">
        <v>550</v>
      </c>
      <c r="E31" s="8" t="s">
        <v>62</v>
      </c>
      <c r="F31" s="8" t="s">
        <v>552</v>
      </c>
      <c r="G31" s="8">
        <v>3</v>
      </c>
      <c r="H31" s="8">
        <v>11</v>
      </c>
      <c r="I31" s="8">
        <v>79</v>
      </c>
      <c r="J31" s="8">
        <v>10</v>
      </c>
      <c r="K31" s="8">
        <v>20</v>
      </c>
      <c r="L31" s="8" t="s">
        <v>541</v>
      </c>
    </row>
    <row r="32" spans="1:12" ht="16" x14ac:dyDescent="0.45">
      <c r="A32" s="8" t="s">
        <v>97</v>
      </c>
      <c r="B32" s="23">
        <v>44600</v>
      </c>
      <c r="C32" s="8" t="s">
        <v>556</v>
      </c>
      <c r="D32" s="8" t="s">
        <v>546</v>
      </c>
      <c r="E32" s="8" t="s">
        <v>62</v>
      </c>
      <c r="F32" s="8" t="s">
        <v>552</v>
      </c>
      <c r="G32" s="8">
        <v>6</v>
      </c>
      <c r="H32" s="8">
        <v>20</v>
      </c>
      <c r="I32" s="8">
        <v>31</v>
      </c>
      <c r="J32" s="8">
        <v>23</v>
      </c>
      <c r="K32" s="8">
        <v>0</v>
      </c>
      <c r="L32" s="8" t="s">
        <v>541</v>
      </c>
    </row>
    <row r="33" spans="1:12" ht="16" x14ac:dyDescent="0.45">
      <c r="A33" s="8" t="s">
        <v>204</v>
      </c>
      <c r="B33" s="23">
        <v>44862</v>
      </c>
      <c r="C33" s="8" t="s">
        <v>557</v>
      </c>
      <c r="D33" s="8" t="s">
        <v>550</v>
      </c>
      <c r="E33" s="8" t="s">
        <v>62</v>
      </c>
      <c r="F33" s="8" t="s">
        <v>552</v>
      </c>
      <c r="G33" s="8">
        <v>2</v>
      </c>
      <c r="H33" s="8">
        <v>5</v>
      </c>
      <c r="I33" s="8">
        <v>116</v>
      </c>
      <c r="J33" s="8">
        <v>35</v>
      </c>
      <c r="K33" s="8">
        <v>20</v>
      </c>
      <c r="L33" s="8" t="s">
        <v>541</v>
      </c>
    </row>
    <row r="34" spans="1:12" ht="16" x14ac:dyDescent="0.45">
      <c r="A34" s="8" t="s">
        <v>523</v>
      </c>
      <c r="B34" s="23">
        <v>45868</v>
      </c>
      <c r="C34" s="8" t="s">
        <v>538</v>
      </c>
      <c r="D34" s="8" t="s">
        <v>543</v>
      </c>
      <c r="E34" s="8" t="s">
        <v>62</v>
      </c>
      <c r="F34" s="8" t="s">
        <v>552</v>
      </c>
      <c r="G34" s="8">
        <v>1</v>
      </c>
      <c r="H34" s="8">
        <v>23</v>
      </c>
      <c r="I34" s="8">
        <v>59</v>
      </c>
      <c r="J34" s="8">
        <v>34</v>
      </c>
      <c r="K34" s="8">
        <v>0</v>
      </c>
      <c r="L34" s="8" t="s">
        <v>547</v>
      </c>
    </row>
    <row r="35" spans="1:12" ht="16" x14ac:dyDescent="0.45">
      <c r="A35" s="8" t="s">
        <v>387</v>
      </c>
      <c r="B35" s="23">
        <v>44913</v>
      </c>
      <c r="C35" s="8" t="s">
        <v>557</v>
      </c>
      <c r="D35" s="8" t="s">
        <v>543</v>
      </c>
      <c r="E35" s="8" t="s">
        <v>62</v>
      </c>
      <c r="F35" s="8" t="s">
        <v>552</v>
      </c>
      <c r="G35" s="8">
        <v>1</v>
      </c>
      <c r="H35" s="8">
        <v>27</v>
      </c>
      <c r="I35" s="8">
        <v>45</v>
      </c>
      <c r="J35" s="8">
        <v>36</v>
      </c>
      <c r="K35" s="8">
        <v>4</v>
      </c>
      <c r="L35" s="8" t="s">
        <v>541</v>
      </c>
    </row>
    <row r="36" spans="1:12" ht="16" x14ac:dyDescent="0.45">
      <c r="A36" s="8" t="s">
        <v>179</v>
      </c>
      <c r="B36" s="23">
        <v>44696</v>
      </c>
      <c r="C36" s="8" t="s">
        <v>548</v>
      </c>
      <c r="D36" s="8" t="s">
        <v>550</v>
      </c>
      <c r="E36" s="8" t="s">
        <v>183</v>
      </c>
      <c r="F36" s="8" t="s">
        <v>552</v>
      </c>
      <c r="G36" s="8">
        <v>1</v>
      </c>
      <c r="H36" s="8">
        <v>8</v>
      </c>
      <c r="I36" s="8">
        <v>22</v>
      </c>
      <c r="J36" s="8">
        <v>54</v>
      </c>
      <c r="K36" s="8">
        <v>10</v>
      </c>
      <c r="L36" s="8" t="s">
        <v>541</v>
      </c>
    </row>
    <row r="37" spans="1:12" ht="16" x14ac:dyDescent="0.45">
      <c r="A37" s="8" t="s">
        <v>153</v>
      </c>
      <c r="B37" s="23">
        <v>45338</v>
      </c>
      <c r="C37" s="8" t="s">
        <v>556</v>
      </c>
      <c r="D37" s="8" t="s">
        <v>543</v>
      </c>
      <c r="E37" s="8" t="s">
        <v>62</v>
      </c>
      <c r="F37" s="8" t="s">
        <v>552</v>
      </c>
      <c r="G37" s="8">
        <v>2</v>
      </c>
      <c r="H37" s="8">
        <v>18</v>
      </c>
      <c r="I37" s="8">
        <v>58</v>
      </c>
      <c r="J37" s="8">
        <v>69</v>
      </c>
      <c r="K37" s="8">
        <v>0</v>
      </c>
      <c r="L37" s="8" t="s">
        <v>541</v>
      </c>
    </row>
    <row r="38" spans="1:12" ht="16" x14ac:dyDescent="0.45">
      <c r="A38" s="8" t="s">
        <v>493</v>
      </c>
      <c r="B38" s="23">
        <v>44908</v>
      </c>
      <c r="C38" s="8" t="s">
        <v>551</v>
      </c>
      <c r="D38" s="8" t="s">
        <v>539</v>
      </c>
      <c r="E38" s="8" t="s">
        <v>62</v>
      </c>
      <c r="F38" s="8" t="s">
        <v>552</v>
      </c>
      <c r="G38" s="8">
        <v>1</v>
      </c>
      <c r="H38" s="8">
        <v>25</v>
      </c>
      <c r="I38" s="8">
        <v>113</v>
      </c>
      <c r="J38" s="8">
        <v>27</v>
      </c>
      <c r="K38" s="8">
        <v>20</v>
      </c>
      <c r="L38" s="8" t="s">
        <v>547</v>
      </c>
    </row>
    <row r="39" spans="1:12" ht="16" x14ac:dyDescent="0.45">
      <c r="A39" s="8" t="s">
        <v>181</v>
      </c>
      <c r="B39" s="23">
        <v>44639</v>
      </c>
      <c r="C39" s="8" t="s">
        <v>545</v>
      </c>
      <c r="D39" s="8" t="s">
        <v>546</v>
      </c>
      <c r="E39" s="8" t="s">
        <v>84</v>
      </c>
      <c r="F39" s="8" t="s">
        <v>552</v>
      </c>
      <c r="G39" s="8">
        <v>2</v>
      </c>
      <c r="H39" s="8">
        <v>25</v>
      </c>
      <c r="I39" s="8">
        <v>18</v>
      </c>
      <c r="J39" s="8">
        <v>9</v>
      </c>
      <c r="K39" s="8">
        <v>6</v>
      </c>
      <c r="L39" s="8" t="s">
        <v>541</v>
      </c>
    </row>
    <row r="40" spans="1:12" ht="16" x14ac:dyDescent="0.45">
      <c r="A40" s="8" t="s">
        <v>227</v>
      </c>
      <c r="B40" s="23">
        <v>45613</v>
      </c>
      <c r="C40" s="8" t="s">
        <v>548</v>
      </c>
      <c r="D40" s="8" t="s">
        <v>543</v>
      </c>
      <c r="E40" s="8" t="s">
        <v>70</v>
      </c>
      <c r="F40" s="8" t="s">
        <v>552</v>
      </c>
      <c r="G40" s="8">
        <v>1</v>
      </c>
      <c r="H40" s="8">
        <v>19</v>
      </c>
      <c r="I40" s="8">
        <v>78</v>
      </c>
      <c r="J40" s="8">
        <v>18</v>
      </c>
      <c r="K40" s="8">
        <v>10</v>
      </c>
      <c r="L40" s="8" t="s">
        <v>547</v>
      </c>
    </row>
    <row r="41" spans="1:12" ht="16" x14ac:dyDescent="0.45">
      <c r="A41" s="8" t="s">
        <v>282</v>
      </c>
      <c r="B41" s="23">
        <v>45941</v>
      </c>
      <c r="C41" s="8" t="s">
        <v>556</v>
      </c>
      <c r="D41" s="8" t="s">
        <v>539</v>
      </c>
      <c r="E41" s="8" t="s">
        <v>156</v>
      </c>
      <c r="F41" s="8" t="s">
        <v>552</v>
      </c>
      <c r="G41" s="8">
        <v>3</v>
      </c>
      <c r="H41" s="8">
        <v>15</v>
      </c>
      <c r="I41" s="8">
        <v>51</v>
      </c>
      <c r="J41" s="8">
        <v>27</v>
      </c>
      <c r="K41" s="8">
        <v>0</v>
      </c>
      <c r="L41" s="8" t="s">
        <v>541</v>
      </c>
    </row>
    <row r="42" spans="1:12" ht="16" x14ac:dyDescent="0.45">
      <c r="A42" s="8" t="s">
        <v>202</v>
      </c>
      <c r="B42" s="23">
        <v>45615</v>
      </c>
      <c r="C42" s="8" t="s">
        <v>558</v>
      </c>
      <c r="D42" s="8" t="s">
        <v>546</v>
      </c>
      <c r="E42" s="8" t="s">
        <v>70</v>
      </c>
      <c r="F42" s="8" t="s">
        <v>552</v>
      </c>
      <c r="G42" s="8">
        <v>1</v>
      </c>
      <c r="H42" s="8">
        <v>16</v>
      </c>
      <c r="I42" s="8">
        <v>83</v>
      </c>
      <c r="J42" s="8">
        <v>25</v>
      </c>
      <c r="K42" s="8">
        <v>4</v>
      </c>
      <c r="L42" s="8" t="s">
        <v>541</v>
      </c>
    </row>
    <row r="43" spans="1:12" ht="16" x14ac:dyDescent="0.45">
      <c r="A43" s="8" t="s">
        <v>289</v>
      </c>
      <c r="B43" s="23">
        <v>45243</v>
      </c>
      <c r="C43" s="8" t="s">
        <v>554</v>
      </c>
      <c r="D43" s="8" t="s">
        <v>539</v>
      </c>
      <c r="E43" s="8" t="s">
        <v>62</v>
      </c>
      <c r="F43" s="8" t="s">
        <v>552</v>
      </c>
      <c r="G43" s="8">
        <v>3</v>
      </c>
      <c r="H43" s="8">
        <v>7</v>
      </c>
      <c r="I43" s="8">
        <v>25</v>
      </c>
      <c r="J43" s="8">
        <v>57</v>
      </c>
      <c r="K43" s="8">
        <v>6</v>
      </c>
      <c r="L43" s="8" t="s">
        <v>541</v>
      </c>
    </row>
    <row r="44" spans="1:12" ht="16" x14ac:dyDescent="0.45">
      <c r="A44" s="8" t="s">
        <v>308</v>
      </c>
      <c r="B44" s="23">
        <v>45718</v>
      </c>
      <c r="C44" s="8" t="s">
        <v>551</v>
      </c>
      <c r="D44" s="8" t="s">
        <v>546</v>
      </c>
      <c r="E44" s="8" t="s">
        <v>62</v>
      </c>
      <c r="F44" s="8" t="s">
        <v>552</v>
      </c>
      <c r="G44" s="8">
        <v>1</v>
      </c>
      <c r="H44" s="8">
        <v>9</v>
      </c>
      <c r="I44" s="8">
        <v>41</v>
      </c>
      <c r="J44" s="8">
        <v>40</v>
      </c>
      <c r="K44" s="8">
        <v>2</v>
      </c>
      <c r="L44" s="8" t="s">
        <v>547</v>
      </c>
    </row>
    <row r="45" spans="1:12" ht="16" x14ac:dyDescent="0.45">
      <c r="A45" s="8" t="s">
        <v>277</v>
      </c>
      <c r="B45" s="23">
        <v>46088</v>
      </c>
      <c r="C45" s="8" t="s">
        <v>554</v>
      </c>
      <c r="D45" s="8" t="s">
        <v>539</v>
      </c>
      <c r="E45" s="8" t="s">
        <v>70</v>
      </c>
      <c r="F45" s="8" t="s">
        <v>552</v>
      </c>
      <c r="G45" s="8">
        <v>2</v>
      </c>
      <c r="H45" s="8">
        <v>30</v>
      </c>
      <c r="I45" s="8">
        <v>121</v>
      </c>
      <c r="J45" s="8">
        <v>8</v>
      </c>
      <c r="K45" s="8">
        <v>14</v>
      </c>
      <c r="L45" s="8" t="s">
        <v>541</v>
      </c>
    </row>
    <row r="46" spans="1:12" ht="16" x14ac:dyDescent="0.45">
      <c r="A46" s="8" t="s">
        <v>399</v>
      </c>
      <c r="B46" s="23">
        <v>44728</v>
      </c>
      <c r="C46" s="8" t="s">
        <v>545</v>
      </c>
      <c r="D46" s="8" t="s">
        <v>546</v>
      </c>
      <c r="E46" s="8" t="s">
        <v>62</v>
      </c>
      <c r="F46" s="8" t="s">
        <v>552</v>
      </c>
      <c r="G46" s="8">
        <v>2</v>
      </c>
      <c r="H46" s="8">
        <v>10</v>
      </c>
      <c r="I46" s="8">
        <v>17</v>
      </c>
      <c r="J46" s="8">
        <v>34</v>
      </c>
      <c r="K46" s="8">
        <v>20</v>
      </c>
      <c r="L46" s="8" t="s">
        <v>541</v>
      </c>
    </row>
    <row r="47" spans="1:12" ht="16" x14ac:dyDescent="0.45">
      <c r="A47" s="8" t="s">
        <v>260</v>
      </c>
      <c r="B47" s="23">
        <v>45647</v>
      </c>
      <c r="C47" s="8" t="s">
        <v>558</v>
      </c>
      <c r="D47" s="8" t="s">
        <v>546</v>
      </c>
      <c r="E47" s="8" t="s">
        <v>62</v>
      </c>
      <c r="F47" s="8" t="s">
        <v>552</v>
      </c>
      <c r="G47" s="8">
        <v>5</v>
      </c>
      <c r="H47" s="8">
        <v>22</v>
      </c>
      <c r="I47" s="8">
        <v>65</v>
      </c>
      <c r="J47" s="8">
        <v>56</v>
      </c>
      <c r="K47" s="8">
        <v>4</v>
      </c>
      <c r="L47" s="8" t="s">
        <v>547</v>
      </c>
    </row>
    <row r="48" spans="1:12" ht="16" x14ac:dyDescent="0.45">
      <c r="A48" s="8" t="s">
        <v>239</v>
      </c>
      <c r="B48" s="23">
        <v>44674</v>
      </c>
      <c r="C48" s="8" t="s">
        <v>548</v>
      </c>
      <c r="D48" s="8" t="s">
        <v>546</v>
      </c>
      <c r="E48" s="8" t="s">
        <v>62</v>
      </c>
      <c r="F48" s="8" t="s">
        <v>552</v>
      </c>
      <c r="G48" s="8">
        <v>4</v>
      </c>
      <c r="H48" s="8">
        <v>26</v>
      </c>
      <c r="I48" s="8">
        <v>108</v>
      </c>
      <c r="J48" s="8">
        <v>29</v>
      </c>
      <c r="K48" s="8">
        <v>20</v>
      </c>
      <c r="L48" s="8" t="s">
        <v>541</v>
      </c>
    </row>
    <row r="49" spans="1:12" ht="16" x14ac:dyDescent="0.45">
      <c r="A49" s="8" t="s">
        <v>217</v>
      </c>
      <c r="B49" s="23">
        <v>46109</v>
      </c>
      <c r="C49" s="8" t="s">
        <v>548</v>
      </c>
      <c r="D49" s="8" t="s">
        <v>550</v>
      </c>
      <c r="E49" s="8" t="s">
        <v>62</v>
      </c>
      <c r="F49" s="8" t="s">
        <v>552</v>
      </c>
      <c r="G49" s="8">
        <v>2</v>
      </c>
      <c r="H49" s="8">
        <v>5</v>
      </c>
      <c r="I49" s="8">
        <v>92</v>
      </c>
      <c r="J49" s="8">
        <v>43</v>
      </c>
      <c r="K49" s="8">
        <v>2</v>
      </c>
      <c r="L49" s="8" t="s">
        <v>541</v>
      </c>
    </row>
    <row r="50" spans="1:12" ht="16" x14ac:dyDescent="0.45">
      <c r="A50" s="8" t="s">
        <v>72</v>
      </c>
      <c r="B50" s="23">
        <v>45774</v>
      </c>
      <c r="C50" s="8" t="s">
        <v>538</v>
      </c>
      <c r="D50" s="8" t="s">
        <v>543</v>
      </c>
      <c r="E50" s="8" t="s">
        <v>62</v>
      </c>
      <c r="F50" s="8" t="s">
        <v>552</v>
      </c>
      <c r="G50" s="8">
        <v>3</v>
      </c>
      <c r="H50" s="8">
        <v>8</v>
      </c>
      <c r="I50" s="8">
        <v>90</v>
      </c>
      <c r="J50" s="8">
        <v>22</v>
      </c>
      <c r="K50" s="8">
        <v>20</v>
      </c>
      <c r="L50" s="8" t="s">
        <v>541</v>
      </c>
    </row>
    <row r="51" spans="1:12" ht="16" x14ac:dyDescent="0.45">
      <c r="A51" s="8" t="s">
        <v>124</v>
      </c>
      <c r="B51" s="23">
        <v>45866</v>
      </c>
      <c r="C51" s="8" t="s">
        <v>556</v>
      </c>
      <c r="D51" s="8" t="s">
        <v>546</v>
      </c>
      <c r="E51" s="8" t="s">
        <v>156</v>
      </c>
      <c r="F51" s="8" t="s">
        <v>552</v>
      </c>
      <c r="G51" s="8">
        <v>6</v>
      </c>
      <c r="H51" s="8">
        <v>29</v>
      </c>
      <c r="I51" s="8">
        <v>90</v>
      </c>
      <c r="J51" s="8">
        <v>27</v>
      </c>
      <c r="K51" s="8">
        <v>6</v>
      </c>
      <c r="L51" s="8" t="s">
        <v>541</v>
      </c>
    </row>
    <row r="52" spans="1:12" ht="16" x14ac:dyDescent="0.45">
      <c r="A52" s="8" t="s">
        <v>189</v>
      </c>
      <c r="B52" s="23">
        <v>45813</v>
      </c>
      <c r="C52" s="8" t="s">
        <v>554</v>
      </c>
      <c r="D52" s="8" t="s">
        <v>539</v>
      </c>
      <c r="E52" s="8" t="s">
        <v>70</v>
      </c>
      <c r="F52" s="8" t="s">
        <v>552</v>
      </c>
      <c r="G52" s="8">
        <v>3</v>
      </c>
      <c r="H52" s="8">
        <v>17</v>
      </c>
      <c r="I52" s="8">
        <v>66</v>
      </c>
      <c r="J52" s="8">
        <v>56</v>
      </c>
      <c r="K52" s="8">
        <v>2</v>
      </c>
      <c r="L52" s="8" t="s">
        <v>541</v>
      </c>
    </row>
    <row r="53" spans="1:12" ht="16" x14ac:dyDescent="0.45">
      <c r="A53" s="8" t="s">
        <v>390</v>
      </c>
      <c r="B53" s="23">
        <v>46122</v>
      </c>
      <c r="C53" s="8" t="s">
        <v>553</v>
      </c>
      <c r="D53" s="8" t="s">
        <v>550</v>
      </c>
      <c r="E53" s="8" t="s">
        <v>156</v>
      </c>
      <c r="F53" s="8" t="s">
        <v>552</v>
      </c>
      <c r="G53" s="8">
        <v>3</v>
      </c>
      <c r="H53" s="8">
        <v>8</v>
      </c>
      <c r="I53" s="8">
        <v>52</v>
      </c>
      <c r="J53" s="8">
        <v>40</v>
      </c>
      <c r="K53" s="8">
        <v>6</v>
      </c>
      <c r="L53" s="8" t="s">
        <v>541</v>
      </c>
    </row>
    <row r="54" spans="1:12" ht="16" x14ac:dyDescent="0.45">
      <c r="A54" s="8" t="s">
        <v>403</v>
      </c>
      <c r="B54" s="23">
        <v>45320</v>
      </c>
      <c r="C54" s="8" t="s">
        <v>553</v>
      </c>
      <c r="D54" s="8" t="s">
        <v>550</v>
      </c>
      <c r="E54" s="8" t="s">
        <v>183</v>
      </c>
      <c r="F54" s="8" t="s">
        <v>552</v>
      </c>
      <c r="G54" s="8">
        <v>3</v>
      </c>
      <c r="H54" s="8">
        <v>18</v>
      </c>
      <c r="I54" s="8">
        <v>33</v>
      </c>
      <c r="J54" s="8">
        <v>30</v>
      </c>
      <c r="K54" s="8">
        <v>6</v>
      </c>
      <c r="L54" s="8" t="s">
        <v>547</v>
      </c>
    </row>
    <row r="55" spans="1:12" ht="16" x14ac:dyDescent="0.45">
      <c r="A55" s="8" t="s">
        <v>249</v>
      </c>
      <c r="B55" s="23">
        <v>45555</v>
      </c>
      <c r="C55" s="8" t="s">
        <v>553</v>
      </c>
      <c r="D55" s="8" t="s">
        <v>546</v>
      </c>
      <c r="E55" s="8" t="s">
        <v>62</v>
      </c>
      <c r="F55" s="8" t="s">
        <v>552</v>
      </c>
      <c r="G55" s="8">
        <v>2</v>
      </c>
      <c r="H55" s="8">
        <v>21</v>
      </c>
      <c r="I55" s="8">
        <v>59</v>
      </c>
      <c r="J55" s="8">
        <v>66</v>
      </c>
      <c r="K55" s="8">
        <v>20</v>
      </c>
      <c r="L55" s="8" t="s">
        <v>541</v>
      </c>
    </row>
    <row r="56" spans="1:12" ht="16" x14ac:dyDescent="0.45">
      <c r="A56" s="8" t="s">
        <v>198</v>
      </c>
      <c r="B56" s="23">
        <v>45388</v>
      </c>
      <c r="C56" s="8" t="s">
        <v>558</v>
      </c>
      <c r="D56" s="8" t="s">
        <v>543</v>
      </c>
      <c r="E56" s="8" t="s">
        <v>84</v>
      </c>
      <c r="F56" s="8" t="s">
        <v>552</v>
      </c>
      <c r="G56" s="8">
        <v>4</v>
      </c>
      <c r="H56" s="8">
        <v>5</v>
      </c>
      <c r="I56" s="8">
        <v>53</v>
      </c>
      <c r="J56" s="8">
        <v>56</v>
      </c>
      <c r="K56" s="8">
        <v>0</v>
      </c>
      <c r="L56" s="8" t="s">
        <v>541</v>
      </c>
    </row>
    <row r="57" spans="1:12" ht="16" x14ac:dyDescent="0.45">
      <c r="A57" s="8" t="s">
        <v>365</v>
      </c>
      <c r="B57" s="23">
        <v>46012</v>
      </c>
      <c r="C57" s="8" t="s">
        <v>538</v>
      </c>
      <c r="D57" s="8" t="s">
        <v>550</v>
      </c>
      <c r="E57" s="8" t="s">
        <v>183</v>
      </c>
      <c r="F57" s="8" t="s">
        <v>552</v>
      </c>
      <c r="G57" s="8">
        <v>2</v>
      </c>
      <c r="H57" s="8">
        <v>13</v>
      </c>
      <c r="I57" s="8">
        <v>130</v>
      </c>
      <c r="J57" s="8">
        <v>53</v>
      </c>
      <c r="K57" s="8">
        <v>2</v>
      </c>
      <c r="L57" s="8" t="s">
        <v>541</v>
      </c>
    </row>
    <row r="58" spans="1:12" ht="16" x14ac:dyDescent="0.45">
      <c r="A58" s="8" t="s">
        <v>258</v>
      </c>
      <c r="B58" s="23">
        <v>45416</v>
      </c>
      <c r="C58" s="8" t="s">
        <v>545</v>
      </c>
      <c r="D58" s="8" t="s">
        <v>550</v>
      </c>
      <c r="E58" s="8" t="s">
        <v>62</v>
      </c>
      <c r="F58" s="8" t="s">
        <v>552</v>
      </c>
      <c r="G58" s="8">
        <v>4</v>
      </c>
      <c r="H58" s="8">
        <v>14</v>
      </c>
      <c r="I58" s="8">
        <v>122</v>
      </c>
      <c r="J58" s="8">
        <v>12</v>
      </c>
      <c r="K58" s="8">
        <v>0</v>
      </c>
      <c r="L58" s="8" t="s">
        <v>547</v>
      </c>
    </row>
    <row r="59" spans="1:12" ht="16" x14ac:dyDescent="0.45">
      <c r="A59" s="8" t="s">
        <v>376</v>
      </c>
      <c r="B59" s="23">
        <v>45996</v>
      </c>
      <c r="C59" s="8" t="s">
        <v>558</v>
      </c>
      <c r="D59" s="8" t="s">
        <v>543</v>
      </c>
      <c r="E59" s="8" t="s">
        <v>62</v>
      </c>
      <c r="F59" s="8" t="s">
        <v>552</v>
      </c>
      <c r="G59" s="8">
        <v>1</v>
      </c>
      <c r="H59" s="8">
        <v>11</v>
      </c>
      <c r="I59" s="8">
        <v>74</v>
      </c>
      <c r="J59" s="8">
        <v>43</v>
      </c>
      <c r="K59" s="8">
        <v>4</v>
      </c>
      <c r="L59" s="8" t="s">
        <v>547</v>
      </c>
    </row>
    <row r="60" spans="1:12" ht="16" x14ac:dyDescent="0.45">
      <c r="A60" s="8" t="s">
        <v>90</v>
      </c>
      <c r="B60" s="23">
        <v>45229</v>
      </c>
      <c r="C60" s="8" t="s">
        <v>556</v>
      </c>
      <c r="D60" s="8" t="s">
        <v>550</v>
      </c>
      <c r="E60" s="8" t="s">
        <v>62</v>
      </c>
      <c r="F60" s="8" t="s">
        <v>552</v>
      </c>
      <c r="G60" s="8">
        <v>2</v>
      </c>
      <c r="H60" s="8">
        <v>16</v>
      </c>
      <c r="I60" s="8">
        <v>101</v>
      </c>
      <c r="J60" s="8">
        <v>16</v>
      </c>
      <c r="K60" s="8">
        <v>20</v>
      </c>
      <c r="L60" s="8" t="s">
        <v>541</v>
      </c>
    </row>
    <row r="61" spans="1:12" ht="16" x14ac:dyDescent="0.45">
      <c r="A61" s="8" t="s">
        <v>168</v>
      </c>
      <c r="B61" s="23">
        <v>44587</v>
      </c>
      <c r="C61" s="8" t="s">
        <v>556</v>
      </c>
      <c r="D61" s="8" t="s">
        <v>539</v>
      </c>
      <c r="E61" s="8" t="s">
        <v>62</v>
      </c>
      <c r="F61" s="8" t="s">
        <v>552</v>
      </c>
      <c r="G61" s="8">
        <v>4</v>
      </c>
      <c r="H61" s="8">
        <v>12</v>
      </c>
      <c r="I61" s="8">
        <v>95</v>
      </c>
      <c r="J61" s="8">
        <v>57</v>
      </c>
      <c r="K61" s="8">
        <v>4</v>
      </c>
      <c r="L61" s="8" t="s">
        <v>541</v>
      </c>
    </row>
  </sheetData>
  <autoFilter ref="A1:L61" xr:uid="{00000000-0009-0000-0000-000003000000}"/>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25"/>
  <sheetViews>
    <sheetView zoomScaleNormal="100" workbookViewId="0">
      <pane ySplit="1" topLeftCell="A2" activePane="bottomLeft" state="frozen"/>
      <selection pane="bottomLeft"/>
    </sheetView>
  </sheetViews>
  <sheetFormatPr defaultColWidth="8.6328125" defaultRowHeight="14.5" x14ac:dyDescent="0.35"/>
  <cols>
    <col min="1" max="9" width="16" customWidth="1"/>
  </cols>
  <sheetData>
    <row r="1" spans="1:9" ht="32" x14ac:dyDescent="0.35">
      <c r="A1" s="22" t="s">
        <v>560</v>
      </c>
      <c r="B1" s="22" t="s">
        <v>561</v>
      </c>
      <c r="C1" s="22" t="s">
        <v>562</v>
      </c>
      <c r="D1" s="22" t="s">
        <v>51</v>
      </c>
      <c r="E1" s="22" t="s">
        <v>563</v>
      </c>
      <c r="F1" s="22" t="s">
        <v>52</v>
      </c>
      <c r="G1" s="22" t="s">
        <v>564</v>
      </c>
      <c r="H1" s="22" t="s">
        <v>565</v>
      </c>
      <c r="I1" s="22" t="s">
        <v>566</v>
      </c>
    </row>
    <row r="2" spans="1:9" ht="16" x14ac:dyDescent="0.45">
      <c r="A2" s="25">
        <v>45566</v>
      </c>
      <c r="B2" s="8">
        <f>COUNTIFS(Initiatives!$B:$B,"&gt;="&amp;$A2,Initiatives!$B:$B,"&lt;="&amp;EOMONTH($A2,0),Initiatives!$P:$P,"Completed")</f>
        <v>10</v>
      </c>
      <c r="C2" s="8">
        <v>15</v>
      </c>
      <c r="D2" s="8">
        <f>SUMIFS(Initiatives!$K:$K,Initiatives!$B:$B,"&gt;="&amp;$A2,Initiatives!$B:$B,"&lt;="&amp;EOMONTH($A2,0),Initiatives!$P:$P,"Completed")</f>
        <v>1149</v>
      </c>
      <c r="E2" s="16">
        <f>IFERROR(SUMIFS(Initiatives!$K:$K,Initiatives!$B:$B,"&gt;="&amp;$A2,Initiatives!$B:$B,"&lt;="&amp;EOMONTH($A2,0),Initiatives!$P:$P,"Completed")/SUMIFS(Initiatives!$J:$J,Initiatives!$B:$B,"&gt;="&amp;$A2,Initiatives!$B:$B,"&lt;="&amp;EOMONTH($A2,0),Initiatives!$P:$P,"Completed"),"")</f>
        <v>0.69425981873111786</v>
      </c>
      <c r="F2" s="8">
        <f>SUMIFS(Initiatives!$L:$L,Initiatives!$B:$B,"&gt;="&amp;$A2,Initiatives!$B:$B,"&lt;="&amp;EOMONTH($A2,0),Initiatives!$P:$P,"Completed")</f>
        <v>1039</v>
      </c>
      <c r="G2" s="17">
        <f>IFERROR(ROUND(AVERAGEIFS(Initiatives!$M:$M,Initiatives!$B:$B,"&gt;="&amp;$A2,Initiatives!$B:$B,"&lt;="&amp;EOMONTH($A2,0),Initiatives!$P:$P,"Completed"),2),"")</f>
        <v>4.2</v>
      </c>
      <c r="H2" s="16">
        <f>IFERROR(SUMIFS(Initiatives!$O:$O,Initiatives!$B:$B,"&gt;="&amp;$A2,Initiatives!$B:$B,"&lt;="&amp;EOMONTH($A2,0))/SUMIFS(Initiatives!$N:$N,Initiatives!$B:$B,"&gt;="&amp;$A2,Initiatives!$B:$B,"&lt;="&amp;EOMONTH($A2,0)),"")</f>
        <v>0.83743068391866915</v>
      </c>
      <c r="I2" s="15">
        <v>47121</v>
      </c>
    </row>
    <row r="3" spans="1:9" ht="16" x14ac:dyDescent="0.45">
      <c r="A3" s="25">
        <v>45597</v>
      </c>
      <c r="B3" s="8">
        <f>COUNTIFS(Initiatives!$B:$B,"&gt;="&amp;$A3,Initiatives!$B:$B,"&lt;="&amp;EOMONTH($A3,0),Initiatives!$P:$P,"Completed")</f>
        <v>18</v>
      </c>
      <c r="C3" s="8">
        <v>13</v>
      </c>
      <c r="D3" s="8">
        <f>SUMIFS(Initiatives!$K:$K,Initiatives!$B:$B,"&gt;="&amp;$A3,Initiatives!$B:$B,"&lt;="&amp;EOMONTH($A3,0),Initiatives!$P:$P,"Completed")</f>
        <v>1432</v>
      </c>
      <c r="E3" s="16">
        <f>IFERROR(SUMIFS(Initiatives!$K:$K,Initiatives!$B:$B,"&gt;="&amp;$A3,Initiatives!$B:$B,"&lt;="&amp;EOMONTH($A3,0),Initiatives!$P:$P,"Completed")/SUMIFS(Initiatives!$J:$J,Initiatives!$B:$B,"&gt;="&amp;$A3,Initiatives!$B:$B,"&lt;="&amp;EOMONTH($A3,0),Initiatives!$P:$P,"Completed"),"")</f>
        <v>0.63985701519213578</v>
      </c>
      <c r="F3" s="8">
        <f>SUMIFS(Initiatives!$L:$L,Initiatives!$B:$B,"&gt;="&amp;$A3,Initiatives!$B:$B,"&lt;="&amp;EOMONTH($A3,0),Initiatives!$P:$P,"Completed")</f>
        <v>1020</v>
      </c>
      <c r="G3" s="17">
        <f>IFERROR(ROUND(AVERAGEIFS(Initiatives!$M:$M,Initiatives!$B:$B,"&gt;="&amp;$A3,Initiatives!$B:$B,"&lt;="&amp;EOMONTH($A3,0),Initiatives!$P:$P,"Completed"),2),"")</f>
        <v>3.96</v>
      </c>
      <c r="H3" s="16">
        <f>IFERROR(SUMIFS(Initiatives!$O:$O,Initiatives!$B:$B,"&gt;="&amp;$A3,Initiatives!$B:$B,"&lt;="&amp;EOMONTH($A3,0))/SUMIFS(Initiatives!$N:$N,Initiatives!$B:$B,"&gt;="&amp;$A3,Initiatives!$B:$B,"&lt;="&amp;EOMONTH($A3,0)),"")</f>
        <v>0.93907839616995814</v>
      </c>
      <c r="I3" s="15">
        <v>89131</v>
      </c>
    </row>
    <row r="4" spans="1:9" ht="16" x14ac:dyDescent="0.45">
      <c r="A4" s="25">
        <v>45627</v>
      </c>
      <c r="B4" s="8">
        <f>COUNTIFS(Initiatives!$B:$B,"&gt;="&amp;$A4,Initiatives!$B:$B,"&lt;="&amp;EOMONTH($A4,0),Initiatives!$P:$P,"Completed")</f>
        <v>24</v>
      </c>
      <c r="C4" s="8">
        <v>15</v>
      </c>
      <c r="D4" s="8">
        <f>SUMIFS(Initiatives!$K:$K,Initiatives!$B:$B,"&gt;="&amp;$A4,Initiatives!$B:$B,"&lt;="&amp;EOMONTH($A4,0),Initiatives!$P:$P,"Completed")</f>
        <v>2094</v>
      </c>
      <c r="E4" s="16">
        <f>IFERROR(SUMIFS(Initiatives!$K:$K,Initiatives!$B:$B,"&gt;="&amp;$A4,Initiatives!$B:$B,"&lt;="&amp;EOMONTH($A4,0),Initiatives!$P:$P,"Completed")/SUMIFS(Initiatives!$J:$J,Initiatives!$B:$B,"&gt;="&amp;$A4,Initiatives!$B:$B,"&lt;="&amp;EOMONTH($A4,0),Initiatives!$P:$P,"Completed"),"")</f>
        <v>0.67223113964686998</v>
      </c>
      <c r="F4" s="8">
        <f>SUMIFS(Initiatives!$L:$L,Initiatives!$B:$B,"&gt;="&amp;$A4,Initiatives!$B:$B,"&lt;="&amp;EOMONTH($A4,0),Initiatives!$P:$P,"Completed")</f>
        <v>1753</v>
      </c>
      <c r="G4" s="17">
        <f>IFERROR(ROUND(AVERAGEIFS(Initiatives!$M:$M,Initiatives!$B:$B,"&gt;="&amp;$A4,Initiatives!$B:$B,"&lt;="&amp;EOMONTH($A4,0),Initiatives!$P:$P,"Completed"),2),"")</f>
        <v>4.24</v>
      </c>
      <c r="H4" s="16">
        <f>IFERROR(SUMIFS(Initiatives!$O:$O,Initiatives!$B:$B,"&gt;="&amp;$A4,Initiatives!$B:$B,"&lt;="&amp;EOMONTH($A4,0))/SUMIFS(Initiatives!$N:$N,Initiatives!$B:$B,"&gt;="&amp;$A4,Initiatives!$B:$B,"&lt;="&amp;EOMONTH($A4,0)),"")</f>
        <v>0.95670650730411688</v>
      </c>
      <c r="I4" s="15">
        <v>45644</v>
      </c>
    </row>
    <row r="5" spans="1:9" ht="16" x14ac:dyDescent="0.45">
      <c r="A5" s="25">
        <v>45658</v>
      </c>
      <c r="B5" s="8">
        <f>COUNTIFS(Initiatives!$B:$B,"&gt;="&amp;$A5,Initiatives!$B:$B,"&lt;="&amp;EOMONTH($A5,0),Initiatives!$P:$P,"Completed")</f>
        <v>14</v>
      </c>
      <c r="C5" s="8">
        <v>16</v>
      </c>
      <c r="D5" s="8">
        <f>SUMIFS(Initiatives!$K:$K,Initiatives!$B:$B,"&gt;="&amp;$A5,Initiatives!$B:$B,"&lt;="&amp;EOMONTH($A5,0),Initiatives!$P:$P,"Completed")</f>
        <v>1146</v>
      </c>
      <c r="E5" s="16">
        <f>IFERROR(SUMIFS(Initiatives!$K:$K,Initiatives!$B:$B,"&gt;="&amp;$A5,Initiatives!$B:$B,"&lt;="&amp;EOMONTH($A5,0),Initiatives!$P:$P,"Completed")/SUMIFS(Initiatives!$J:$J,Initiatives!$B:$B,"&gt;="&amp;$A5,Initiatives!$B:$B,"&lt;="&amp;EOMONTH($A5,0),Initiatives!$P:$P,"Completed"),"")</f>
        <v>0.64855687606112056</v>
      </c>
      <c r="F5" s="8">
        <f>SUMIFS(Initiatives!$L:$L,Initiatives!$B:$B,"&gt;="&amp;$A5,Initiatives!$B:$B,"&lt;="&amp;EOMONTH($A5,0),Initiatives!$P:$P,"Completed")</f>
        <v>999</v>
      </c>
      <c r="G5" s="17">
        <f>IFERROR(ROUND(AVERAGEIFS(Initiatives!$M:$M,Initiatives!$B:$B,"&gt;="&amp;$A5,Initiatives!$B:$B,"&lt;="&amp;EOMONTH($A5,0),Initiatives!$P:$P,"Completed"),2),"")</f>
        <v>4.07</v>
      </c>
      <c r="H5" s="16">
        <f>IFERROR(SUMIFS(Initiatives!$O:$O,Initiatives!$B:$B,"&gt;="&amp;$A5,Initiatives!$B:$B,"&lt;="&amp;EOMONTH($A5,0))/SUMIFS(Initiatives!$N:$N,Initiatives!$B:$B,"&gt;="&amp;$A5,Initiatives!$B:$B,"&lt;="&amp;EOMONTH($A5,0)),"")</f>
        <v>0.96542124542124541</v>
      </c>
      <c r="I5" s="15">
        <v>79174</v>
      </c>
    </row>
    <row r="6" spans="1:9" ht="16" x14ac:dyDescent="0.45">
      <c r="A6" s="25">
        <v>45689</v>
      </c>
      <c r="B6" s="8">
        <f>COUNTIFS(Initiatives!$B:$B,"&gt;="&amp;$A6,Initiatives!$B:$B,"&lt;="&amp;EOMONTH($A6,0),Initiatives!$P:$P,"Completed")</f>
        <v>15</v>
      </c>
      <c r="C6" s="8">
        <v>16</v>
      </c>
      <c r="D6" s="8">
        <f>SUMIFS(Initiatives!$K:$K,Initiatives!$B:$B,"&gt;="&amp;$A6,Initiatives!$B:$B,"&lt;="&amp;EOMONTH($A6,0),Initiatives!$P:$P,"Completed")</f>
        <v>1311</v>
      </c>
      <c r="E6" s="16">
        <f>IFERROR(SUMIFS(Initiatives!$K:$K,Initiatives!$B:$B,"&gt;="&amp;$A6,Initiatives!$B:$B,"&lt;="&amp;EOMONTH($A6,0),Initiatives!$P:$P,"Completed")/SUMIFS(Initiatives!$J:$J,Initiatives!$B:$B,"&gt;="&amp;$A6,Initiatives!$B:$B,"&lt;="&amp;EOMONTH($A6,0),Initiatives!$P:$P,"Completed"),"")</f>
        <v>0.69512195121951215</v>
      </c>
      <c r="F6" s="8">
        <f>SUMIFS(Initiatives!$L:$L,Initiatives!$B:$B,"&gt;="&amp;$A6,Initiatives!$B:$B,"&lt;="&amp;EOMONTH($A6,0),Initiatives!$P:$P,"Completed")</f>
        <v>1095</v>
      </c>
      <c r="G6" s="17">
        <f>IFERROR(ROUND(AVERAGEIFS(Initiatives!$M:$M,Initiatives!$B:$B,"&gt;="&amp;$A6,Initiatives!$B:$B,"&lt;="&amp;EOMONTH($A6,0),Initiatives!$P:$P,"Completed"),2),"")</f>
        <v>4.1399999999999997</v>
      </c>
      <c r="H6" s="16">
        <f>IFERROR(SUMIFS(Initiatives!$O:$O,Initiatives!$B:$B,"&gt;="&amp;$A6,Initiatives!$B:$B,"&lt;="&amp;EOMONTH($A6,0))/SUMIFS(Initiatives!$N:$N,Initiatives!$B:$B,"&gt;="&amp;$A6,Initiatives!$B:$B,"&lt;="&amp;EOMONTH($A6,0)),"")</f>
        <v>0.89663072776280328</v>
      </c>
      <c r="I6" s="15">
        <v>63574</v>
      </c>
    </row>
    <row r="7" spans="1:9" ht="16" x14ac:dyDescent="0.45">
      <c r="A7" s="25">
        <v>45717</v>
      </c>
      <c r="B7" s="8">
        <f>COUNTIFS(Initiatives!$B:$B,"&gt;="&amp;$A7,Initiatives!$B:$B,"&lt;="&amp;EOMONTH($A7,0),Initiatives!$P:$P,"Completed")</f>
        <v>15</v>
      </c>
      <c r="C7" s="8">
        <v>13</v>
      </c>
      <c r="D7" s="8">
        <f>SUMIFS(Initiatives!$K:$K,Initiatives!$B:$B,"&gt;="&amp;$A7,Initiatives!$B:$B,"&lt;="&amp;EOMONTH($A7,0),Initiatives!$P:$P,"Completed")</f>
        <v>1220</v>
      </c>
      <c r="E7" s="16">
        <f>IFERROR(SUMIFS(Initiatives!$K:$K,Initiatives!$B:$B,"&gt;="&amp;$A7,Initiatives!$B:$B,"&lt;="&amp;EOMONTH($A7,0),Initiatives!$P:$P,"Completed")/SUMIFS(Initiatives!$J:$J,Initiatives!$B:$B,"&gt;="&amp;$A7,Initiatives!$B:$B,"&lt;="&amp;EOMONTH($A7,0),Initiatives!$P:$P,"Completed"),"")</f>
        <v>0.62340316811446095</v>
      </c>
      <c r="F7" s="8">
        <f>SUMIFS(Initiatives!$L:$L,Initiatives!$B:$B,"&gt;="&amp;$A7,Initiatives!$B:$B,"&lt;="&amp;EOMONTH($A7,0),Initiatives!$P:$P,"Completed")</f>
        <v>1111</v>
      </c>
      <c r="G7" s="17">
        <f>IFERROR(ROUND(AVERAGEIFS(Initiatives!$M:$M,Initiatives!$B:$B,"&gt;="&amp;$A7,Initiatives!$B:$B,"&lt;="&amp;EOMONTH($A7,0),Initiatives!$P:$P,"Completed"),2),"")</f>
        <v>3.95</v>
      </c>
      <c r="H7" s="16">
        <f>IFERROR(SUMIFS(Initiatives!$O:$O,Initiatives!$B:$B,"&gt;="&amp;$A7,Initiatives!$B:$B,"&lt;="&amp;EOMONTH($A7,0))/SUMIFS(Initiatives!$N:$N,Initiatives!$B:$B,"&gt;="&amp;$A7,Initiatives!$B:$B,"&lt;="&amp;EOMONTH($A7,0)),"")</f>
        <v>0.90681431005110735</v>
      </c>
      <c r="I7" s="15">
        <v>42671</v>
      </c>
    </row>
    <row r="8" spans="1:9" ht="16" x14ac:dyDescent="0.45">
      <c r="A8" s="25">
        <v>45748</v>
      </c>
      <c r="B8" s="8">
        <f>COUNTIFS(Initiatives!$B:$B,"&gt;="&amp;$A8,Initiatives!$B:$B,"&lt;="&amp;EOMONTH($A8,0),Initiatives!$P:$P,"Completed")</f>
        <v>20</v>
      </c>
      <c r="C8" s="8">
        <v>14</v>
      </c>
      <c r="D8" s="8">
        <f>SUMIFS(Initiatives!$K:$K,Initiatives!$B:$B,"&gt;="&amp;$A8,Initiatives!$B:$B,"&lt;="&amp;EOMONTH($A8,0),Initiatives!$P:$P,"Completed")</f>
        <v>1575</v>
      </c>
      <c r="E8" s="16">
        <f>IFERROR(SUMIFS(Initiatives!$K:$K,Initiatives!$B:$B,"&gt;="&amp;$A8,Initiatives!$B:$B,"&lt;="&amp;EOMONTH($A8,0),Initiatives!$P:$P,"Completed")/SUMIFS(Initiatives!$J:$J,Initiatives!$B:$B,"&gt;="&amp;$A8,Initiatives!$B:$B,"&lt;="&amp;EOMONTH($A8,0),Initiatives!$P:$P,"Completed"),"")</f>
        <v>0.6797583081570997</v>
      </c>
      <c r="F8" s="8">
        <f>SUMIFS(Initiatives!$L:$L,Initiatives!$B:$B,"&gt;="&amp;$A8,Initiatives!$B:$B,"&lt;="&amp;EOMONTH($A8,0),Initiatives!$P:$P,"Completed")</f>
        <v>1440</v>
      </c>
      <c r="G8" s="17">
        <f>IFERROR(ROUND(AVERAGEIFS(Initiatives!$M:$M,Initiatives!$B:$B,"&gt;="&amp;$A8,Initiatives!$B:$B,"&lt;="&amp;EOMONTH($A8,0),Initiatives!$P:$P,"Completed"),2),"")</f>
        <v>4.08</v>
      </c>
      <c r="H8" s="16">
        <f>IFERROR(SUMIFS(Initiatives!$O:$O,Initiatives!$B:$B,"&gt;="&amp;$A8,Initiatives!$B:$B,"&lt;="&amp;EOMONTH($A8,0))/SUMIFS(Initiatives!$N:$N,Initiatives!$B:$B,"&gt;="&amp;$A8,Initiatives!$B:$B,"&lt;="&amp;EOMONTH($A8,0)),"")</f>
        <v>0.97028160575194733</v>
      </c>
      <c r="I8" s="15">
        <v>42595</v>
      </c>
    </row>
    <row r="9" spans="1:9" ht="16" x14ac:dyDescent="0.45">
      <c r="A9" s="25">
        <v>45778</v>
      </c>
      <c r="B9" s="8">
        <f>COUNTIFS(Initiatives!$B:$B,"&gt;="&amp;$A9,Initiatives!$B:$B,"&lt;="&amp;EOMONTH($A9,0),Initiatives!$P:$P,"Completed")</f>
        <v>16</v>
      </c>
      <c r="C9" s="8">
        <v>13</v>
      </c>
      <c r="D9" s="8">
        <f>SUMIFS(Initiatives!$K:$K,Initiatives!$B:$B,"&gt;="&amp;$A9,Initiatives!$B:$B,"&lt;="&amp;EOMONTH($A9,0),Initiatives!$P:$P,"Completed")</f>
        <v>1495</v>
      </c>
      <c r="E9" s="16">
        <f>IFERROR(SUMIFS(Initiatives!$K:$K,Initiatives!$B:$B,"&gt;="&amp;$A9,Initiatives!$B:$B,"&lt;="&amp;EOMONTH($A9,0),Initiatives!$P:$P,"Completed")/SUMIFS(Initiatives!$J:$J,Initiatives!$B:$B,"&gt;="&amp;$A9,Initiatives!$B:$B,"&lt;="&amp;EOMONTH($A9,0),Initiatives!$P:$P,"Completed"),"")</f>
        <v>0.73356231599607458</v>
      </c>
      <c r="F9" s="8">
        <f>SUMIFS(Initiatives!$L:$L,Initiatives!$B:$B,"&gt;="&amp;$A9,Initiatives!$B:$B,"&lt;="&amp;EOMONTH($A9,0),Initiatives!$P:$P,"Completed")</f>
        <v>892</v>
      </c>
      <c r="G9" s="17">
        <f>IFERROR(ROUND(AVERAGEIFS(Initiatives!$M:$M,Initiatives!$B:$B,"&gt;="&amp;$A9,Initiatives!$B:$B,"&lt;="&amp;EOMONTH($A9,0),Initiatives!$P:$P,"Completed"),2),"")</f>
        <v>4.08</v>
      </c>
      <c r="H9" s="16">
        <f>IFERROR(SUMIFS(Initiatives!$O:$O,Initiatives!$B:$B,"&gt;="&amp;$A9,Initiatives!$B:$B,"&lt;="&amp;EOMONTH($A9,0))/SUMIFS(Initiatives!$N:$N,Initiatives!$B:$B,"&gt;="&amp;$A9,Initiatives!$B:$B,"&lt;="&amp;EOMONTH($A9,0)),"")</f>
        <v>0.92657807308970097</v>
      </c>
      <c r="I9" s="15">
        <v>56364</v>
      </c>
    </row>
    <row r="10" spans="1:9" ht="16" x14ac:dyDescent="0.45">
      <c r="A10" s="25">
        <v>45809</v>
      </c>
      <c r="B10" s="8">
        <f>COUNTIFS(Initiatives!$B:$B,"&gt;="&amp;$A10,Initiatives!$B:$B,"&lt;="&amp;EOMONTH($A10,0),Initiatives!$P:$P,"Completed")</f>
        <v>15</v>
      </c>
      <c r="C10" s="8">
        <v>14</v>
      </c>
      <c r="D10" s="8">
        <f>SUMIFS(Initiatives!$K:$K,Initiatives!$B:$B,"&gt;="&amp;$A10,Initiatives!$B:$B,"&lt;="&amp;EOMONTH($A10,0),Initiatives!$P:$P,"Completed")</f>
        <v>1024</v>
      </c>
      <c r="E10" s="16">
        <f>IFERROR(SUMIFS(Initiatives!$K:$K,Initiatives!$B:$B,"&gt;="&amp;$A10,Initiatives!$B:$B,"&lt;="&amp;EOMONTH($A10,0),Initiatives!$P:$P,"Completed")/SUMIFS(Initiatives!$J:$J,Initiatives!$B:$B,"&gt;="&amp;$A10,Initiatives!$B:$B,"&lt;="&amp;EOMONTH($A10,0),Initiatives!$P:$P,"Completed"),"")</f>
        <v>0.68039867109634555</v>
      </c>
      <c r="F10" s="8">
        <f>SUMIFS(Initiatives!$L:$L,Initiatives!$B:$B,"&gt;="&amp;$A10,Initiatives!$B:$B,"&lt;="&amp;EOMONTH($A10,0),Initiatives!$P:$P,"Completed")</f>
        <v>849</v>
      </c>
      <c r="G10" s="17">
        <f>IFERROR(ROUND(AVERAGEIFS(Initiatives!$M:$M,Initiatives!$B:$B,"&gt;="&amp;$A10,Initiatives!$B:$B,"&lt;="&amp;EOMONTH($A10,0),Initiatives!$P:$P,"Completed"),2),"")</f>
        <v>4.03</v>
      </c>
      <c r="H10" s="16">
        <f>IFERROR(SUMIFS(Initiatives!$O:$O,Initiatives!$B:$B,"&gt;="&amp;$A10,Initiatives!$B:$B,"&lt;="&amp;EOMONTH($A10,0))/SUMIFS(Initiatives!$N:$N,Initiatives!$B:$B,"&gt;="&amp;$A10,Initiatives!$B:$B,"&lt;="&amp;EOMONTH($A10,0)),"")</f>
        <v>0.92672471533824519</v>
      </c>
      <c r="I10" s="15">
        <v>54888</v>
      </c>
    </row>
    <row r="11" spans="1:9" ht="16" x14ac:dyDescent="0.45">
      <c r="A11" s="25">
        <v>45839</v>
      </c>
      <c r="B11" s="8">
        <f>COUNTIFS(Initiatives!$B:$B,"&gt;="&amp;$A11,Initiatives!$B:$B,"&lt;="&amp;EOMONTH($A11,0),Initiatives!$P:$P,"Completed")</f>
        <v>4</v>
      </c>
      <c r="C11" s="8">
        <v>6</v>
      </c>
      <c r="D11" s="8">
        <f>SUMIFS(Initiatives!$K:$K,Initiatives!$B:$B,"&gt;="&amp;$A11,Initiatives!$B:$B,"&lt;="&amp;EOMONTH($A11,0),Initiatives!$P:$P,"Completed")</f>
        <v>563</v>
      </c>
      <c r="E11" s="16">
        <f>IFERROR(SUMIFS(Initiatives!$K:$K,Initiatives!$B:$B,"&gt;="&amp;$A11,Initiatives!$B:$B,"&lt;="&amp;EOMONTH($A11,0),Initiatives!$P:$P,"Completed")/SUMIFS(Initiatives!$J:$J,Initiatives!$B:$B,"&gt;="&amp;$A11,Initiatives!$B:$B,"&lt;="&amp;EOMONTH($A11,0),Initiatives!$P:$P,"Completed"),"")</f>
        <v>0.6538908246225319</v>
      </c>
      <c r="F11" s="8">
        <f>SUMIFS(Initiatives!$L:$L,Initiatives!$B:$B,"&gt;="&amp;$A11,Initiatives!$B:$B,"&lt;="&amp;EOMONTH($A11,0),Initiatives!$P:$P,"Completed")</f>
        <v>533</v>
      </c>
      <c r="G11" s="17">
        <f>IFERROR(ROUND(AVERAGEIFS(Initiatives!$M:$M,Initiatives!$B:$B,"&gt;="&amp;$A11,Initiatives!$B:$B,"&lt;="&amp;EOMONTH($A11,0),Initiatives!$P:$P,"Completed"),2),"")</f>
        <v>4.18</v>
      </c>
      <c r="H11" s="16">
        <f>IFERROR(SUMIFS(Initiatives!$O:$O,Initiatives!$B:$B,"&gt;="&amp;$A11,Initiatives!$B:$B,"&lt;="&amp;EOMONTH($A11,0))/SUMIFS(Initiatives!$N:$N,Initiatives!$B:$B,"&gt;="&amp;$A11,Initiatives!$B:$B,"&lt;="&amp;EOMONTH($A11,0)),"")</f>
        <v>1.007182320441989</v>
      </c>
      <c r="I11" s="15">
        <v>27964</v>
      </c>
    </row>
    <row r="12" spans="1:9" ht="16" x14ac:dyDescent="0.45">
      <c r="A12" s="25">
        <v>45870</v>
      </c>
      <c r="B12" s="8">
        <f>COUNTIFS(Initiatives!$B:$B,"&gt;="&amp;$A12,Initiatives!$B:$B,"&lt;="&amp;EOMONTH($A12,0),Initiatives!$P:$P,"Completed")</f>
        <v>5</v>
      </c>
      <c r="C12" s="8">
        <v>6</v>
      </c>
      <c r="D12" s="8">
        <f>SUMIFS(Initiatives!$K:$K,Initiatives!$B:$B,"&gt;="&amp;$A12,Initiatives!$B:$B,"&lt;="&amp;EOMONTH($A12,0),Initiatives!$P:$P,"Completed")</f>
        <v>319</v>
      </c>
      <c r="E12" s="16">
        <f>IFERROR(SUMIFS(Initiatives!$K:$K,Initiatives!$B:$B,"&gt;="&amp;$A12,Initiatives!$B:$B,"&lt;="&amp;EOMONTH($A12,0),Initiatives!$P:$P,"Completed")/SUMIFS(Initiatives!$J:$J,Initiatives!$B:$B,"&gt;="&amp;$A12,Initiatives!$B:$B,"&lt;="&amp;EOMONTH($A12,0),Initiatives!$P:$P,"Completed"),"")</f>
        <v>0.65102040816326534</v>
      </c>
      <c r="F12" s="8">
        <f>SUMIFS(Initiatives!$L:$L,Initiatives!$B:$B,"&gt;="&amp;$A12,Initiatives!$B:$B,"&lt;="&amp;EOMONTH($A12,0),Initiatives!$P:$P,"Completed")</f>
        <v>235</v>
      </c>
      <c r="G12" s="17">
        <f>IFERROR(ROUND(AVERAGEIFS(Initiatives!$M:$M,Initiatives!$B:$B,"&gt;="&amp;$A12,Initiatives!$B:$B,"&lt;="&amp;EOMONTH($A12,0),Initiatives!$P:$P,"Completed"),2),"")</f>
        <v>4.16</v>
      </c>
      <c r="H12" s="16">
        <f>IFERROR(SUMIFS(Initiatives!$O:$O,Initiatives!$B:$B,"&gt;="&amp;$A12,Initiatives!$B:$B,"&lt;="&amp;EOMONTH($A12,0))/SUMIFS(Initiatives!$N:$N,Initiatives!$B:$B,"&gt;="&amp;$A12,Initiatives!$B:$B,"&lt;="&amp;EOMONTH($A12,0)),"")</f>
        <v>0.99792207792207788</v>
      </c>
      <c r="I12" s="15">
        <v>15472</v>
      </c>
    </row>
    <row r="13" spans="1:9" ht="16" x14ac:dyDescent="0.45">
      <c r="A13" s="25">
        <v>45901</v>
      </c>
      <c r="B13" s="8">
        <f>COUNTIFS(Initiatives!$B:$B,"&gt;="&amp;$A13,Initiatives!$B:$B,"&lt;="&amp;EOMONTH($A13,0),Initiatives!$P:$P,"Completed")</f>
        <v>11</v>
      </c>
      <c r="C13" s="8">
        <v>16</v>
      </c>
      <c r="D13" s="8">
        <f>SUMIFS(Initiatives!$K:$K,Initiatives!$B:$B,"&gt;="&amp;$A13,Initiatives!$B:$B,"&lt;="&amp;EOMONTH($A13,0),Initiatives!$P:$P,"Completed")</f>
        <v>881</v>
      </c>
      <c r="E13" s="16">
        <f>IFERROR(SUMIFS(Initiatives!$K:$K,Initiatives!$B:$B,"&gt;="&amp;$A13,Initiatives!$B:$B,"&lt;="&amp;EOMONTH($A13,0),Initiatives!$P:$P,"Completed")/SUMIFS(Initiatives!$J:$J,Initiatives!$B:$B,"&gt;="&amp;$A13,Initiatives!$B:$B,"&lt;="&amp;EOMONTH($A13,0),Initiatives!$P:$P,"Completed"),"")</f>
        <v>0.64494875549048314</v>
      </c>
      <c r="F13" s="8">
        <f>SUMIFS(Initiatives!$L:$L,Initiatives!$B:$B,"&gt;="&amp;$A13,Initiatives!$B:$B,"&lt;="&amp;EOMONTH($A13,0),Initiatives!$P:$P,"Completed")</f>
        <v>568</v>
      </c>
      <c r="G13" s="17">
        <f>IFERROR(ROUND(AVERAGEIFS(Initiatives!$M:$M,Initiatives!$B:$B,"&gt;="&amp;$A13,Initiatives!$B:$B,"&lt;="&amp;EOMONTH($A13,0),Initiatives!$P:$P,"Completed"),2),"")</f>
        <v>4.17</v>
      </c>
      <c r="H13" s="16">
        <f>IFERROR(SUMIFS(Initiatives!$O:$O,Initiatives!$B:$B,"&gt;="&amp;$A13,Initiatives!$B:$B,"&lt;="&amp;EOMONTH($A13,0))/SUMIFS(Initiatives!$N:$N,Initiatives!$B:$B,"&gt;="&amp;$A13,Initiatives!$B:$B,"&lt;="&amp;EOMONTH($A13,0)),"")</f>
        <v>0.85464926590538337</v>
      </c>
      <c r="I13" s="15">
        <v>52986</v>
      </c>
    </row>
    <row r="14" spans="1:9" ht="16" x14ac:dyDescent="0.45">
      <c r="A14" s="25">
        <v>45931</v>
      </c>
      <c r="B14" s="8">
        <f>COUNTIFS(Initiatives!$B:$B,"&gt;="&amp;$A14,Initiatives!$B:$B,"&lt;="&amp;EOMONTH($A14,0),Initiatives!$P:$P,"Completed")</f>
        <v>16</v>
      </c>
      <c r="C14" s="8">
        <v>16</v>
      </c>
      <c r="D14" s="8">
        <f>SUMIFS(Initiatives!$K:$K,Initiatives!$B:$B,"&gt;="&amp;$A14,Initiatives!$B:$B,"&lt;="&amp;EOMONTH($A14,0),Initiatives!$P:$P,"Completed")</f>
        <v>1180</v>
      </c>
      <c r="E14" s="16">
        <f>IFERROR(SUMIFS(Initiatives!$K:$K,Initiatives!$B:$B,"&gt;="&amp;$A14,Initiatives!$B:$B,"&lt;="&amp;EOMONTH($A14,0),Initiatives!$P:$P,"Completed")/SUMIFS(Initiatives!$J:$J,Initiatives!$B:$B,"&gt;="&amp;$A14,Initiatives!$B:$B,"&lt;="&amp;EOMONTH($A14,0),Initiatives!$P:$P,"Completed"),"")</f>
        <v>0.72884496602841264</v>
      </c>
      <c r="F14" s="8">
        <f>SUMIFS(Initiatives!$L:$L,Initiatives!$B:$B,"&gt;="&amp;$A14,Initiatives!$B:$B,"&lt;="&amp;EOMONTH($A14,0),Initiatives!$P:$P,"Completed")</f>
        <v>1164</v>
      </c>
      <c r="G14" s="17">
        <f>IFERROR(ROUND(AVERAGEIFS(Initiatives!$M:$M,Initiatives!$B:$B,"&gt;="&amp;$A14,Initiatives!$B:$B,"&lt;="&amp;EOMONTH($A14,0),Initiatives!$P:$P,"Completed"),2),"")</f>
        <v>4.26</v>
      </c>
      <c r="H14" s="16">
        <f>IFERROR(SUMIFS(Initiatives!$O:$O,Initiatives!$B:$B,"&gt;="&amp;$A14,Initiatives!$B:$B,"&lt;="&amp;EOMONTH($A14,0))/SUMIFS(Initiatives!$N:$N,Initiatives!$B:$B,"&gt;="&amp;$A14,Initiatives!$B:$B,"&lt;="&amp;EOMONTH($A14,0)),"")</f>
        <v>0.92362869198312236</v>
      </c>
      <c r="I14" s="15">
        <v>50364</v>
      </c>
    </row>
    <row r="15" spans="1:9" ht="16" x14ac:dyDescent="0.45">
      <c r="A15" s="25">
        <v>45962</v>
      </c>
      <c r="B15" s="8">
        <f>COUNTIFS(Initiatives!$B:$B,"&gt;="&amp;$A15,Initiatives!$B:$B,"&lt;="&amp;EOMONTH($A15,0),Initiatives!$P:$P,"Completed")</f>
        <v>18</v>
      </c>
      <c r="C15" s="8">
        <v>12</v>
      </c>
      <c r="D15" s="8">
        <f>SUMIFS(Initiatives!$K:$K,Initiatives!$B:$B,"&gt;="&amp;$A15,Initiatives!$B:$B,"&lt;="&amp;EOMONTH($A15,0),Initiatives!$P:$P,"Completed")</f>
        <v>1649</v>
      </c>
      <c r="E15" s="16">
        <f>IFERROR(SUMIFS(Initiatives!$K:$K,Initiatives!$B:$B,"&gt;="&amp;$A15,Initiatives!$B:$B,"&lt;="&amp;EOMONTH($A15,0),Initiatives!$P:$P,"Completed")/SUMIFS(Initiatives!$J:$J,Initiatives!$B:$B,"&gt;="&amp;$A15,Initiatives!$B:$B,"&lt;="&amp;EOMONTH($A15,0),Initiatives!$P:$P,"Completed"),"")</f>
        <v>0.71200345423143352</v>
      </c>
      <c r="F15" s="8">
        <f>SUMIFS(Initiatives!$L:$L,Initiatives!$B:$B,"&gt;="&amp;$A15,Initiatives!$B:$B,"&lt;="&amp;EOMONTH($A15,0),Initiatives!$P:$P,"Completed")</f>
        <v>1671</v>
      </c>
      <c r="G15" s="17">
        <f>IFERROR(ROUND(AVERAGEIFS(Initiatives!$M:$M,Initiatives!$B:$B,"&gt;="&amp;$A15,Initiatives!$B:$B,"&lt;="&amp;EOMONTH($A15,0),Initiatives!$P:$P,"Completed"),2),"")</f>
        <v>4.07</v>
      </c>
      <c r="H15" s="16">
        <f>IFERROR(SUMIFS(Initiatives!$O:$O,Initiatives!$B:$B,"&gt;="&amp;$A15,Initiatives!$B:$B,"&lt;="&amp;EOMONTH($A15,0))/SUMIFS(Initiatives!$N:$N,Initiatives!$B:$B,"&gt;="&amp;$A15,Initiatives!$B:$B,"&lt;="&amp;EOMONTH($A15,0)),"")</f>
        <v>0.94449284380833853</v>
      </c>
      <c r="I15" s="15">
        <v>81401</v>
      </c>
    </row>
    <row r="16" spans="1:9" ht="16" x14ac:dyDescent="0.45">
      <c r="A16" s="25">
        <v>45992</v>
      </c>
      <c r="B16" s="8">
        <f>COUNTIFS(Initiatives!$B:$B,"&gt;="&amp;$A16,Initiatives!$B:$B,"&lt;="&amp;EOMONTH($A16,0),Initiatives!$P:$P,"Completed")</f>
        <v>18</v>
      </c>
      <c r="C16" s="8">
        <v>13</v>
      </c>
      <c r="D16" s="8">
        <f>SUMIFS(Initiatives!$K:$K,Initiatives!$B:$B,"&gt;="&amp;$A16,Initiatives!$B:$B,"&lt;="&amp;EOMONTH($A16,0),Initiatives!$P:$P,"Completed")</f>
        <v>1795</v>
      </c>
      <c r="E16" s="16">
        <f>IFERROR(SUMIFS(Initiatives!$K:$K,Initiatives!$B:$B,"&gt;="&amp;$A16,Initiatives!$B:$B,"&lt;="&amp;EOMONTH($A16,0),Initiatives!$P:$P,"Completed")/SUMIFS(Initiatives!$J:$J,Initiatives!$B:$B,"&gt;="&amp;$A16,Initiatives!$B:$B,"&lt;="&amp;EOMONTH($A16,0),Initiatives!$P:$P,"Completed"),"")</f>
        <v>0.72291582762786954</v>
      </c>
      <c r="F16" s="8">
        <f>SUMIFS(Initiatives!$L:$L,Initiatives!$B:$B,"&gt;="&amp;$A16,Initiatives!$B:$B,"&lt;="&amp;EOMONTH($A16,0),Initiatives!$P:$P,"Completed")</f>
        <v>1526</v>
      </c>
      <c r="G16" s="17">
        <f>IFERROR(ROUND(AVERAGEIFS(Initiatives!$M:$M,Initiatives!$B:$B,"&gt;="&amp;$A16,Initiatives!$B:$B,"&lt;="&amp;EOMONTH($A16,0),Initiatives!$P:$P,"Completed"),2),"")</f>
        <v>4.05</v>
      </c>
      <c r="H16" s="16">
        <f>IFERROR(SUMIFS(Initiatives!$O:$O,Initiatives!$B:$B,"&gt;="&amp;$A16,Initiatives!$B:$B,"&lt;="&amp;EOMONTH($A16,0))/SUMIFS(Initiatives!$N:$N,Initiatives!$B:$B,"&gt;="&amp;$A16,Initiatives!$B:$B,"&lt;="&amp;EOMONTH($A16,0)),"")</f>
        <v>0.92610383309073263</v>
      </c>
      <c r="I16" s="15">
        <v>90392</v>
      </c>
    </row>
    <row r="17" spans="1:9" ht="16" x14ac:dyDescent="0.45">
      <c r="A17" s="25">
        <v>46023</v>
      </c>
      <c r="B17" s="8">
        <f>COUNTIFS(Initiatives!$B:$B,"&gt;="&amp;$A17,Initiatives!$B:$B,"&lt;="&amp;EOMONTH($A17,0),Initiatives!$P:$P,"Completed")</f>
        <v>12</v>
      </c>
      <c r="C17" s="8">
        <v>12</v>
      </c>
      <c r="D17" s="8">
        <f>SUMIFS(Initiatives!$K:$K,Initiatives!$B:$B,"&gt;="&amp;$A17,Initiatives!$B:$B,"&lt;="&amp;EOMONTH($A17,0),Initiatives!$P:$P,"Completed")</f>
        <v>783</v>
      </c>
      <c r="E17" s="16">
        <f>IFERROR(SUMIFS(Initiatives!$K:$K,Initiatives!$B:$B,"&gt;="&amp;$A17,Initiatives!$B:$B,"&lt;="&amp;EOMONTH($A17,0),Initiatives!$P:$P,"Completed")/SUMIFS(Initiatives!$J:$J,Initiatives!$B:$B,"&gt;="&amp;$A17,Initiatives!$B:$B,"&lt;="&amp;EOMONTH($A17,0),Initiatives!$P:$P,"Completed"),"")</f>
        <v>0.6675191815856778</v>
      </c>
      <c r="F17" s="8">
        <f>SUMIFS(Initiatives!$L:$L,Initiatives!$B:$B,"&gt;="&amp;$A17,Initiatives!$B:$B,"&lt;="&amp;EOMONTH($A17,0),Initiatives!$P:$P,"Completed")</f>
        <v>597</v>
      </c>
      <c r="G17" s="17">
        <f>IFERROR(ROUND(AVERAGEIFS(Initiatives!$M:$M,Initiatives!$B:$B,"&gt;="&amp;$A17,Initiatives!$B:$B,"&lt;="&amp;EOMONTH($A17,0),Initiatives!$P:$P,"Completed"),2),"")</f>
        <v>4.08</v>
      </c>
      <c r="H17" s="16">
        <f>IFERROR(SUMIFS(Initiatives!$O:$O,Initiatives!$B:$B,"&gt;="&amp;$A17,Initiatives!$B:$B,"&lt;="&amp;EOMONTH($A17,0))/SUMIFS(Initiatives!$N:$N,Initiatives!$B:$B,"&gt;="&amp;$A17,Initiatives!$B:$B,"&lt;="&amp;EOMONTH($A17,0)),"")</f>
        <v>0.85866402116402119</v>
      </c>
      <c r="I17" s="15">
        <v>55054</v>
      </c>
    </row>
    <row r="18" spans="1:9" ht="16" x14ac:dyDescent="0.45">
      <c r="A18" s="25">
        <v>46054</v>
      </c>
      <c r="B18" s="8">
        <f>COUNTIFS(Initiatives!$B:$B,"&gt;="&amp;$A18,Initiatives!$B:$B,"&lt;="&amp;EOMONTH($A18,0),Initiatives!$P:$P,"Completed")</f>
        <v>12</v>
      </c>
      <c r="C18" s="8">
        <v>13</v>
      </c>
      <c r="D18" s="8">
        <f>SUMIFS(Initiatives!$K:$K,Initiatives!$B:$B,"&gt;="&amp;$A18,Initiatives!$B:$B,"&lt;="&amp;EOMONTH($A18,0),Initiatives!$P:$P,"Completed")</f>
        <v>1112</v>
      </c>
      <c r="E18" s="16">
        <f>IFERROR(SUMIFS(Initiatives!$K:$K,Initiatives!$B:$B,"&gt;="&amp;$A18,Initiatives!$B:$B,"&lt;="&amp;EOMONTH($A18,0),Initiatives!$P:$P,"Completed")/SUMIFS(Initiatives!$J:$J,Initiatives!$B:$B,"&gt;="&amp;$A18,Initiatives!$B:$B,"&lt;="&amp;EOMONTH($A18,0),Initiatives!$P:$P,"Completed"),"")</f>
        <v>0.76321207961564863</v>
      </c>
      <c r="F18" s="8">
        <f>SUMIFS(Initiatives!$L:$L,Initiatives!$B:$B,"&gt;="&amp;$A18,Initiatives!$B:$B,"&lt;="&amp;EOMONTH($A18,0),Initiatives!$P:$P,"Completed")</f>
        <v>767</v>
      </c>
      <c r="G18" s="17">
        <f>IFERROR(ROUND(AVERAGEIFS(Initiatives!$M:$M,Initiatives!$B:$B,"&gt;="&amp;$A18,Initiatives!$B:$B,"&lt;="&amp;EOMONTH($A18,0),Initiatives!$P:$P,"Completed"),2),"")</f>
        <v>4.2300000000000004</v>
      </c>
      <c r="H18" s="16">
        <f>IFERROR(SUMIFS(Initiatives!$O:$O,Initiatives!$B:$B,"&gt;="&amp;$A18,Initiatives!$B:$B,"&lt;="&amp;EOMONTH($A18,0))/SUMIFS(Initiatives!$N:$N,Initiatives!$B:$B,"&gt;="&amp;$A18,Initiatives!$B:$B,"&lt;="&amp;EOMONTH($A18,0)),"")</f>
        <v>0.84207011686143574</v>
      </c>
      <c r="I18" s="15">
        <v>70026</v>
      </c>
    </row>
    <row r="19" spans="1:9" ht="16" x14ac:dyDescent="0.45">
      <c r="A19" s="25">
        <v>46082</v>
      </c>
      <c r="B19" s="8">
        <f>COUNTIFS(Initiatives!$B:$B,"&gt;="&amp;$A19,Initiatives!$B:$B,"&lt;="&amp;EOMONTH($A19,0),Initiatives!$P:$P,"Completed")</f>
        <v>15</v>
      </c>
      <c r="C19" s="8">
        <v>16</v>
      </c>
      <c r="D19" s="8">
        <f>SUMIFS(Initiatives!$K:$K,Initiatives!$B:$B,"&gt;="&amp;$A19,Initiatives!$B:$B,"&lt;="&amp;EOMONTH($A19,0),Initiatives!$P:$P,"Completed")</f>
        <v>1356</v>
      </c>
      <c r="E19" s="16">
        <f>IFERROR(SUMIFS(Initiatives!$K:$K,Initiatives!$B:$B,"&gt;="&amp;$A19,Initiatives!$B:$B,"&lt;="&amp;EOMONTH($A19,0),Initiatives!$P:$P,"Completed")/SUMIFS(Initiatives!$J:$J,Initiatives!$B:$B,"&gt;="&amp;$A19,Initiatives!$B:$B,"&lt;="&amp;EOMONTH($A19,0),Initiatives!$P:$P,"Completed"),"")</f>
        <v>0.67029164607019276</v>
      </c>
      <c r="F19" s="8">
        <f>SUMIFS(Initiatives!$L:$L,Initiatives!$B:$B,"&gt;="&amp;$A19,Initiatives!$B:$B,"&lt;="&amp;EOMONTH($A19,0),Initiatives!$P:$P,"Completed")</f>
        <v>1191</v>
      </c>
      <c r="G19" s="17">
        <f>IFERROR(ROUND(AVERAGEIFS(Initiatives!$M:$M,Initiatives!$B:$B,"&gt;="&amp;$A19,Initiatives!$B:$B,"&lt;="&amp;EOMONTH($A19,0),Initiatives!$P:$P,"Completed"),2),"")</f>
        <v>4.0999999999999996</v>
      </c>
      <c r="H19" s="16">
        <f>IFERROR(SUMIFS(Initiatives!$O:$O,Initiatives!$B:$B,"&gt;="&amp;$A19,Initiatives!$B:$B,"&lt;="&amp;EOMONTH($A19,0))/SUMIFS(Initiatives!$N:$N,Initiatives!$B:$B,"&gt;="&amp;$A19,Initiatives!$B:$B,"&lt;="&amp;EOMONTH($A19,0)),"")</f>
        <v>0.99427083333333333</v>
      </c>
      <c r="I19" s="15">
        <v>79320</v>
      </c>
    </row>
    <row r="20" spans="1:9" ht="16" x14ac:dyDescent="0.45">
      <c r="A20" s="25">
        <v>46113</v>
      </c>
      <c r="B20" s="8">
        <f>COUNTIFS(Initiatives!$B:$B,"&gt;="&amp;$A20,Initiatives!$B:$B,"&lt;="&amp;EOMONTH($A20,0),Initiatives!$P:$P,"Completed")</f>
        <v>14</v>
      </c>
      <c r="C20" s="8">
        <v>14</v>
      </c>
      <c r="D20" s="8">
        <f>SUMIFS(Initiatives!$K:$K,Initiatives!$B:$B,"&gt;="&amp;$A20,Initiatives!$B:$B,"&lt;="&amp;EOMONTH($A20,0),Initiatives!$P:$P,"Completed")</f>
        <v>1085</v>
      </c>
      <c r="E20" s="16">
        <f>IFERROR(SUMIFS(Initiatives!$K:$K,Initiatives!$B:$B,"&gt;="&amp;$A20,Initiatives!$B:$B,"&lt;="&amp;EOMONTH($A20,0),Initiatives!$P:$P,"Completed")/SUMIFS(Initiatives!$J:$J,Initiatives!$B:$B,"&gt;="&amp;$A20,Initiatives!$B:$B,"&lt;="&amp;EOMONTH($A20,0),Initiatives!$P:$P,"Completed"),"")</f>
        <v>0.65757575757575759</v>
      </c>
      <c r="F20" s="8">
        <f>SUMIFS(Initiatives!$L:$L,Initiatives!$B:$B,"&gt;="&amp;$A20,Initiatives!$B:$B,"&lt;="&amp;EOMONTH($A20,0),Initiatives!$P:$P,"Completed")</f>
        <v>619</v>
      </c>
      <c r="G20" s="17">
        <f>IFERROR(ROUND(AVERAGEIFS(Initiatives!$M:$M,Initiatives!$B:$B,"&gt;="&amp;$A20,Initiatives!$B:$B,"&lt;="&amp;EOMONTH($A20,0),Initiatives!$P:$P,"Completed"),2),"")</f>
        <v>4.28</v>
      </c>
      <c r="H20" s="16">
        <f>IFERROR(SUMIFS(Initiatives!$O:$O,Initiatives!$B:$B,"&gt;="&amp;$A20,Initiatives!$B:$B,"&lt;="&amp;EOMONTH($A20,0))/SUMIFS(Initiatives!$N:$N,Initiatives!$B:$B,"&gt;="&amp;$A20,Initiatives!$B:$B,"&lt;="&amp;EOMONTH($A20,0)),"")</f>
        <v>1.0597628458498023</v>
      </c>
      <c r="I20" s="15">
        <v>94426</v>
      </c>
    </row>
    <row r="21" spans="1:9" ht="16" x14ac:dyDescent="0.45">
      <c r="A21" s="25">
        <v>46143</v>
      </c>
      <c r="B21" s="8">
        <f>COUNTIFS(Initiatives!$B:$B,"&gt;="&amp;$A21,Initiatives!$B:$B,"&lt;="&amp;EOMONTH($A21,0),Initiatives!$P:$P,"Completed")</f>
        <v>16</v>
      </c>
      <c r="C21" s="8">
        <v>14</v>
      </c>
      <c r="D21" s="8">
        <f>SUMIFS(Initiatives!$K:$K,Initiatives!$B:$B,"&gt;="&amp;$A21,Initiatives!$B:$B,"&lt;="&amp;EOMONTH($A21,0),Initiatives!$P:$P,"Completed")</f>
        <v>1114</v>
      </c>
      <c r="E21" s="16">
        <f>IFERROR(SUMIFS(Initiatives!$K:$K,Initiatives!$B:$B,"&gt;="&amp;$A21,Initiatives!$B:$B,"&lt;="&amp;EOMONTH($A21,0),Initiatives!$P:$P,"Completed")/SUMIFS(Initiatives!$J:$J,Initiatives!$B:$B,"&gt;="&amp;$A21,Initiatives!$B:$B,"&lt;="&amp;EOMONTH($A21,0),Initiatives!$P:$P,"Completed"),"")</f>
        <v>0.72478854912166557</v>
      </c>
      <c r="F21" s="8">
        <f>SUMIFS(Initiatives!$L:$L,Initiatives!$B:$B,"&gt;="&amp;$A21,Initiatives!$B:$B,"&lt;="&amp;EOMONTH($A21,0),Initiatives!$P:$P,"Completed")</f>
        <v>1177</v>
      </c>
      <c r="G21" s="17">
        <f>IFERROR(ROUND(AVERAGEIFS(Initiatives!$M:$M,Initiatives!$B:$B,"&gt;="&amp;$A21,Initiatives!$B:$B,"&lt;="&amp;EOMONTH($A21,0),Initiatives!$P:$P,"Completed"),2),"")</f>
        <v>4.12</v>
      </c>
      <c r="H21" s="16">
        <f>IFERROR(SUMIFS(Initiatives!$O:$O,Initiatives!$B:$B,"&gt;="&amp;$A21,Initiatives!$B:$B,"&lt;="&amp;EOMONTH($A21,0))/SUMIFS(Initiatives!$N:$N,Initiatives!$B:$B,"&gt;="&amp;$A21,Initiatives!$B:$B,"&lt;="&amp;EOMONTH($A21,0)),"")</f>
        <v>1.0211646837820914</v>
      </c>
      <c r="I21" s="15">
        <v>41558</v>
      </c>
    </row>
    <row r="22" spans="1:9" ht="16" x14ac:dyDescent="0.45">
      <c r="A22" s="25">
        <v>46174</v>
      </c>
      <c r="B22" s="8">
        <f>COUNTIFS(Initiatives!$B:$B,"&gt;="&amp;$A22,Initiatives!$B:$B,"&lt;="&amp;EOMONTH($A22,0),Initiatives!$P:$P,"Completed")</f>
        <v>18</v>
      </c>
      <c r="C22" s="8">
        <v>12</v>
      </c>
      <c r="D22" s="8">
        <f>SUMIFS(Initiatives!$K:$K,Initiatives!$B:$B,"&gt;="&amp;$A22,Initiatives!$B:$B,"&lt;="&amp;EOMONTH($A22,0),Initiatives!$P:$P,"Completed")</f>
        <v>1664</v>
      </c>
      <c r="E22" s="16">
        <f>IFERROR(SUMIFS(Initiatives!$K:$K,Initiatives!$B:$B,"&gt;="&amp;$A22,Initiatives!$B:$B,"&lt;="&amp;EOMONTH($A22,0),Initiatives!$P:$P,"Completed")/SUMIFS(Initiatives!$J:$J,Initiatives!$B:$B,"&gt;="&amp;$A22,Initiatives!$B:$B,"&lt;="&amp;EOMONTH($A22,0),Initiatives!$P:$P,"Completed"),"")</f>
        <v>0.70899020025564552</v>
      </c>
      <c r="F22" s="8">
        <f>SUMIFS(Initiatives!$L:$L,Initiatives!$B:$B,"&gt;="&amp;$A22,Initiatives!$B:$B,"&lt;="&amp;EOMONTH($A22,0),Initiatives!$P:$P,"Completed")</f>
        <v>1204</v>
      </c>
      <c r="G22" s="17">
        <f>IFERROR(ROUND(AVERAGEIFS(Initiatives!$M:$M,Initiatives!$B:$B,"&gt;="&amp;$A22,Initiatives!$B:$B,"&lt;="&amp;EOMONTH($A22,0),Initiatives!$P:$P,"Completed"),2),"")</f>
        <v>4.1399999999999997</v>
      </c>
      <c r="H22" s="16">
        <f>IFERROR(SUMIFS(Initiatives!$O:$O,Initiatives!$B:$B,"&gt;="&amp;$A22,Initiatives!$B:$B,"&lt;="&amp;EOMONTH($A22,0))/SUMIFS(Initiatives!$N:$N,Initiatives!$B:$B,"&gt;="&amp;$A22,Initiatives!$B:$B,"&lt;="&amp;EOMONTH($A22,0)),"")</f>
        <v>1.0137242669993762</v>
      </c>
      <c r="I22" s="15">
        <v>33798</v>
      </c>
    </row>
    <row r="23" spans="1:9" ht="16" x14ac:dyDescent="0.45">
      <c r="A23" s="25">
        <v>46204</v>
      </c>
      <c r="B23" s="8">
        <f>COUNTIFS(Initiatives!$B:$B,"&gt;="&amp;$A23,Initiatives!$B:$B,"&lt;="&amp;EOMONTH($A23,0),Initiatives!$P:$P,"Completed")</f>
        <v>8</v>
      </c>
      <c r="C23" s="8">
        <v>6</v>
      </c>
      <c r="D23" s="8">
        <f>SUMIFS(Initiatives!$K:$K,Initiatives!$B:$B,"&gt;="&amp;$A23,Initiatives!$B:$B,"&lt;="&amp;EOMONTH($A23,0),Initiatives!$P:$P,"Completed")</f>
        <v>681</v>
      </c>
      <c r="E23" s="16">
        <f>IFERROR(SUMIFS(Initiatives!$K:$K,Initiatives!$B:$B,"&gt;="&amp;$A23,Initiatives!$B:$B,"&lt;="&amp;EOMONTH($A23,0),Initiatives!$P:$P,"Completed")/SUMIFS(Initiatives!$J:$J,Initiatives!$B:$B,"&gt;="&amp;$A23,Initiatives!$B:$B,"&lt;="&amp;EOMONTH($A23,0),Initiatives!$P:$P,"Completed"),"")</f>
        <v>0.58808290155440412</v>
      </c>
      <c r="F23" s="8">
        <f>SUMIFS(Initiatives!$L:$L,Initiatives!$B:$B,"&gt;="&amp;$A23,Initiatives!$B:$B,"&lt;="&amp;EOMONTH($A23,0),Initiatives!$P:$P,"Completed")</f>
        <v>572</v>
      </c>
      <c r="G23" s="17">
        <f>IFERROR(ROUND(AVERAGEIFS(Initiatives!$M:$M,Initiatives!$B:$B,"&gt;="&amp;$A23,Initiatives!$B:$B,"&lt;="&amp;EOMONTH($A23,0),Initiatives!$P:$P,"Completed"),2),"")</f>
        <v>4.01</v>
      </c>
      <c r="H23" s="16">
        <f>IFERROR(SUMIFS(Initiatives!$O:$O,Initiatives!$B:$B,"&gt;="&amp;$A23,Initiatives!$B:$B,"&lt;="&amp;EOMONTH($A23,0))/SUMIFS(Initiatives!$N:$N,Initiatives!$B:$B,"&gt;="&amp;$A23,Initiatives!$B:$B,"&lt;="&amp;EOMONTH($A23,0)),"")</f>
        <v>1.0590588235294118</v>
      </c>
      <c r="I23" s="15">
        <v>26582</v>
      </c>
    </row>
    <row r="24" spans="1:9" ht="16" x14ac:dyDescent="0.45">
      <c r="A24" s="25">
        <v>46235</v>
      </c>
      <c r="B24" s="8">
        <f>COUNTIFS(Initiatives!$B:$B,"&gt;="&amp;$A24,Initiatives!$B:$B,"&lt;="&amp;EOMONTH($A24,0),Initiatives!$P:$P,"Completed")</f>
        <v>7</v>
      </c>
      <c r="C24" s="8">
        <v>6</v>
      </c>
      <c r="D24" s="8">
        <f>SUMIFS(Initiatives!$K:$K,Initiatives!$B:$B,"&gt;="&amp;$A24,Initiatives!$B:$B,"&lt;="&amp;EOMONTH($A24,0),Initiatives!$P:$P,"Completed")</f>
        <v>637</v>
      </c>
      <c r="E24" s="16">
        <f>IFERROR(SUMIFS(Initiatives!$K:$K,Initiatives!$B:$B,"&gt;="&amp;$A24,Initiatives!$B:$B,"&lt;="&amp;EOMONTH($A24,0),Initiatives!$P:$P,"Completed")/SUMIFS(Initiatives!$J:$J,Initiatives!$B:$B,"&gt;="&amp;$A24,Initiatives!$B:$B,"&lt;="&amp;EOMONTH($A24,0),Initiatives!$P:$P,"Completed"),"")</f>
        <v>0.73641618497109829</v>
      </c>
      <c r="F24" s="8">
        <f>SUMIFS(Initiatives!$L:$L,Initiatives!$B:$B,"&gt;="&amp;$A24,Initiatives!$B:$B,"&lt;="&amp;EOMONTH($A24,0),Initiatives!$P:$P,"Completed")</f>
        <v>658</v>
      </c>
      <c r="G24" s="17">
        <f>IFERROR(ROUND(AVERAGEIFS(Initiatives!$M:$M,Initiatives!$B:$B,"&gt;="&amp;$A24,Initiatives!$B:$B,"&lt;="&amp;EOMONTH($A24,0),Initiatives!$P:$P,"Completed"),2),"")</f>
        <v>3.91</v>
      </c>
      <c r="H24" s="16">
        <f>IFERROR(SUMIFS(Initiatives!$O:$O,Initiatives!$B:$B,"&gt;="&amp;$A24,Initiatives!$B:$B,"&lt;="&amp;EOMONTH($A24,0))/SUMIFS(Initiatives!$N:$N,Initiatives!$B:$B,"&gt;="&amp;$A24,Initiatives!$B:$B,"&lt;="&amp;EOMONTH($A24,0)),"")</f>
        <v>0.92159090909090913</v>
      </c>
      <c r="I24" s="15">
        <v>13474</v>
      </c>
    </row>
    <row r="25" spans="1:9" ht="16" x14ac:dyDescent="0.45">
      <c r="A25" s="25">
        <v>46266</v>
      </c>
      <c r="B25" s="8">
        <f>COUNTIFS(Initiatives!$B:$B,"&gt;="&amp;$A25,Initiatives!$B:$B,"&lt;="&amp;EOMONTH($A25,0),Initiatives!$P:$P,"Completed")</f>
        <v>5</v>
      </c>
      <c r="C25" s="8">
        <v>12</v>
      </c>
      <c r="D25" s="8">
        <f>SUMIFS(Initiatives!$K:$K,Initiatives!$B:$B,"&gt;="&amp;$A25,Initiatives!$B:$B,"&lt;="&amp;EOMONTH($A25,0),Initiatives!$P:$P,"Completed")</f>
        <v>469</v>
      </c>
      <c r="E25" s="16">
        <f>IFERROR(SUMIFS(Initiatives!$K:$K,Initiatives!$B:$B,"&gt;="&amp;$A25,Initiatives!$B:$B,"&lt;="&amp;EOMONTH($A25,0),Initiatives!$P:$P,"Completed")/SUMIFS(Initiatives!$J:$J,Initiatives!$B:$B,"&gt;="&amp;$A25,Initiatives!$B:$B,"&lt;="&amp;EOMONTH($A25,0),Initiatives!$P:$P,"Completed"),"")</f>
        <v>0.6866764275256223</v>
      </c>
      <c r="F25" s="8">
        <f>SUMIFS(Initiatives!$L:$L,Initiatives!$B:$B,"&gt;="&amp;$A25,Initiatives!$B:$B,"&lt;="&amp;EOMONTH($A25,0),Initiatives!$P:$P,"Completed")</f>
        <v>424</v>
      </c>
      <c r="G25" s="17">
        <f>IFERROR(ROUND(AVERAGEIFS(Initiatives!$M:$M,Initiatives!$B:$B,"&gt;="&amp;$A25,Initiatives!$B:$B,"&lt;="&amp;EOMONTH($A25,0),Initiatives!$P:$P,"Completed"),2),"")</f>
        <v>3.94</v>
      </c>
      <c r="H25" s="16">
        <f>IFERROR(SUMIFS(Initiatives!$O:$O,Initiatives!$B:$B,"&gt;="&amp;$A25,Initiatives!$B:$B,"&lt;="&amp;EOMONTH($A25,0))/SUMIFS(Initiatives!$N:$N,Initiatives!$B:$B,"&gt;="&amp;$A25,Initiatives!$B:$B,"&lt;="&amp;EOMONTH($A25,0)),"")</f>
        <v>0.46419386745796243</v>
      </c>
      <c r="I25" s="15">
        <v>77854</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AB745DF74AD6254B9C4C3674A53A52F2" ma:contentTypeVersion="4" ma:contentTypeDescription="Create a new document." ma:contentTypeScope="" ma:versionID="c0874985e886f25b78695b8d044696b2">
  <xsd:schema xmlns:xsd="http://www.w3.org/2001/XMLSchema" xmlns:xs="http://www.w3.org/2001/XMLSchema" xmlns:p="http://schemas.microsoft.com/office/2006/metadata/properties" xmlns:ns2="bf22af44-98f5-486d-a6a5-fd8d68f0b8fb" targetNamespace="http://schemas.microsoft.com/office/2006/metadata/properties" ma:root="true" ma:fieldsID="e90efcb9f47c9fbc5d32aefd477f2dd1" ns2:_="">
    <xsd:import namespace="bf22af44-98f5-486d-a6a5-fd8d68f0b8fb"/>
    <xsd:element name="properties">
      <xsd:complexType>
        <xsd:sequence>
          <xsd:element name="documentManagement">
            <xsd:complexType>
              <xsd:all>
                <xsd:element ref="ns2:MediaServiceBillingMetadata" minOccurs="0"/>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f22af44-98f5-486d-a6a5-fd8d68f0b8fb" elementFormDefault="qualified">
    <xsd:import namespace="http://schemas.microsoft.com/office/2006/documentManagement/types"/>
    <xsd:import namespace="http://schemas.microsoft.com/office/infopath/2007/PartnerControls"/>
    <xsd:element name="MediaServiceBillingMetadata" ma:index="8" nillable="true" ma:displayName="MediaServiceBillingMetadata" ma:hidden="true" ma:internalName="MediaServiceBillingMetadata" ma:readOnly="true">
      <xsd:simpleType>
        <xsd:restriction base="dms:Note"/>
      </xsd:simpleType>
    </xsd:element>
    <xsd:element name="MediaServiceMetadata" ma:index="9" nillable="true" ma:displayName="MediaServiceMetadata" ma:hidden="true" ma:internalName="MediaServiceMetadata" ma:readOnly="true">
      <xsd:simpleType>
        <xsd:restriction base="dms:Note"/>
      </xsd:simpleType>
    </xsd:element>
    <xsd:element name="MediaServiceFastMetadata" ma:index="10" nillable="true" ma:displayName="MediaServiceFastMetadata" ma:hidden="true" ma:internalName="MediaServiceFastMetadata" ma:readOnly="true">
      <xsd:simpleType>
        <xsd:restriction base="dms:Note"/>
      </xsd:simpleType>
    </xsd:element>
    <xsd:element name="MediaServiceSearchProperties" ma:index="11"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5B83A3D5-3C0F-456B-80D8-338E5350490A}">
  <ds:schemaRefs>
    <ds:schemaRef ds:uri="http://schemas.microsoft.com/office/2006/metadata/properties"/>
    <ds:schemaRef ds:uri="http://schemas.microsoft.com/office/infopath/2007/PartnerControls"/>
  </ds:schemaRefs>
</ds:datastoreItem>
</file>

<file path=customXml/itemProps2.xml><?xml version="1.0" encoding="utf-8"?>
<ds:datastoreItem xmlns:ds="http://schemas.openxmlformats.org/officeDocument/2006/customXml" ds:itemID="{D3EE846F-24DF-4681-AB86-FBD36F693F99}">
  <ds:schemaRefs>
    <ds:schemaRef ds:uri="http://schemas.microsoft.com/sharepoint/v3/contenttype/forms"/>
  </ds:schemaRefs>
</ds:datastoreItem>
</file>

<file path=customXml/itemProps3.xml><?xml version="1.0" encoding="utf-8"?>
<ds:datastoreItem xmlns:ds="http://schemas.openxmlformats.org/officeDocument/2006/customXml" ds:itemID="{921EB1E6-A4A3-48A5-87C4-A20101ACE834}">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bf22af44-98f5-486d-a6a5-fd8d68f0b8f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Metadata/LabelInfo.xml><?xml version="1.0" encoding="utf-8"?>
<clbl:labelList xmlns:clbl="http://schemas.microsoft.com/office/2020/mipLabelMetadata">
  <clbl:label id="{f42aa342-8706-4288-bd11-ebb85995028c}" enabled="1" method="Privilege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 this file</vt:lpstr>
      <vt:lpstr>Insights Summary</vt:lpstr>
      <vt:lpstr>Initiatives</vt:lpstr>
      <vt:lpstr>Members</vt:lpstr>
      <vt:lpstr>Monthly KPIs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Mai Lootah</cp:lastModifiedBy>
  <cp:revision>0</cp:revision>
  <dcterms:created xsi:type="dcterms:W3CDTF">2026-10-28T15:01:20Z</dcterms:created>
  <dcterms:modified xsi:type="dcterms:W3CDTF">2026-10-29T13:15:29Z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0x010100AB745DF74AD6254B9C4C3674A53A52F2</vt:lpwstr>
  </property>
</Properties>
</file>