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otahmai\Downloads\"/>
    </mc:Choice>
  </mc:AlternateContent>
  <xr:revisionPtr revIDLastSave="0" documentId="13_ncr:101_{368C9781-7CE0-4D5B-A534-CD2A0FBE0F95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ervice Adoption" sheetId="1" r:id="rId1"/>
    <sheet name="Service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E12" i="2"/>
  <c r="C12" i="2"/>
  <c r="D12" i="2" s="1"/>
  <c r="B12" i="2"/>
  <c r="F11" i="2"/>
  <c r="E11" i="2"/>
  <c r="C11" i="2"/>
  <c r="D11" i="2" s="1"/>
  <c r="B11" i="2"/>
  <c r="F10" i="2"/>
  <c r="E10" i="2"/>
  <c r="C10" i="2"/>
  <c r="D10" i="2" s="1"/>
  <c r="B10" i="2"/>
  <c r="F9" i="2"/>
  <c r="E9" i="2"/>
  <c r="C9" i="2"/>
  <c r="D9" i="2" s="1"/>
  <c r="B9" i="2"/>
  <c r="F8" i="2"/>
  <c r="E8" i="2"/>
  <c r="C8" i="2"/>
  <c r="D8" i="2" s="1"/>
  <c r="B8" i="2"/>
  <c r="F7" i="2"/>
  <c r="E7" i="2"/>
  <c r="C7" i="2"/>
  <c r="D7" i="2" s="1"/>
  <c r="B7" i="2"/>
  <c r="F6" i="2"/>
  <c r="E6" i="2"/>
  <c r="C6" i="2"/>
  <c r="D6" i="2" s="1"/>
  <c r="B6" i="2"/>
  <c r="F5" i="2"/>
  <c r="F13" i="2" s="1"/>
  <c r="E5" i="2"/>
  <c r="E13" i="2" s="1"/>
  <c r="C5" i="2"/>
  <c r="B5" i="2"/>
  <c r="B13" i="2" s="1"/>
  <c r="I53" i="1"/>
  <c r="H53" i="1"/>
  <c r="F53" i="1"/>
  <c r="G53" i="1" s="1"/>
  <c r="E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D5" i="2" l="1"/>
  <c r="C13" i="2"/>
  <c r="D13" i="2" s="1"/>
</calcChain>
</file>

<file path=xl/sharedStrings.xml><?xml version="1.0" encoding="utf-8"?>
<sst xmlns="http://schemas.openxmlformats.org/spreadsheetml/2006/main" count="222" uniqueCount="40">
  <si>
    <t>Sharjah Digital Department — Digital Services Adoption</t>
  </si>
  <si>
    <t>Illustrative synthetic data for a Microsoft 365 Copilot demo — not official SDD figures. Jan–Jun 2026.</t>
  </si>
  <si>
    <t>Month</t>
  </si>
  <si>
    <t>Service</t>
  </si>
  <si>
    <t>Category</t>
  </si>
  <si>
    <t>Primary Channel</t>
  </si>
  <si>
    <t>Total Transactions</t>
  </si>
  <si>
    <t>Digital Transactions</t>
  </si>
  <si>
    <t>Digital Adoption %</t>
  </si>
  <si>
    <t>Avg Processing Time (mins)</t>
  </si>
  <si>
    <t>Citizen Satisfaction %</t>
  </si>
  <si>
    <t>Jan 2026</t>
  </si>
  <si>
    <t>Business License Renewal</t>
  </si>
  <si>
    <t>Business</t>
  </si>
  <si>
    <t>Mobile App</t>
  </si>
  <si>
    <t>Traffic Fine Payment</t>
  </si>
  <si>
    <t>Citizens</t>
  </si>
  <si>
    <t>Real Estate Registration</t>
  </si>
  <si>
    <t>Real Estate</t>
  </si>
  <si>
    <t>Web Portal</t>
  </si>
  <si>
    <t>Utility Bill Payment</t>
  </si>
  <si>
    <t>Utilities</t>
  </si>
  <si>
    <t>Social Support Application</t>
  </si>
  <si>
    <t>Social Services</t>
  </si>
  <si>
    <t>Service Centre</t>
  </si>
  <si>
    <t>Health Card Renewal</t>
  </si>
  <si>
    <t>Health</t>
  </si>
  <si>
    <t>Workspace Booking</t>
  </si>
  <si>
    <t>Government</t>
  </si>
  <si>
    <t>Digital Signature Request</t>
  </si>
  <si>
    <t>Feb 2026</t>
  </si>
  <si>
    <t>Mar 2026</t>
  </si>
  <si>
    <t>Apr 2026</t>
  </si>
  <si>
    <t>May 2026</t>
  </si>
  <si>
    <t>Jun 2026</t>
  </si>
  <si>
    <t>TOTAL / AVG</t>
  </si>
  <si>
    <t>All services</t>
  </si>
  <si>
    <t>Service Summary (H1 2026)</t>
  </si>
  <si>
    <t>Aggregated with live formulas from the Service Adoption sheet.</t>
  </si>
  <si>
    <t>Avg Satisfaction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</si>
</sst>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5"/>
      <color rgb="FFA3122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C162D"/>
      </patternFill>
    </fill>
    <fill>
      <patternFill patternType="solid">
        <fgColor rgb="FFFCE6E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1" customWidth="1"/>
    <col min="2" max="2" width="26" customWidth="1"/>
    <col min="3" max="4" width="16" customWidth="1"/>
    <col min="5" max="5" width="18" customWidth="1"/>
    <col min="6" max="6" width="20" customWidth="1"/>
    <col min="7" max="7" width="18" customWidth="1"/>
    <col min="8" max="8" width="24" customWidth="1"/>
    <col min="9" max="9" width="20" customWidth="1"/>
  </cols>
  <sheetData>
    <row r="1" spans="1:9" ht="19" x14ac:dyDescent="0.4">
      <c r="A1" s="1" t="s">
        <v>0</v>
      </c>
    </row>
    <row r="2" spans="1:9" x14ac:dyDescent="0.35">
      <c r="A2" s="2" t="s">
        <v>1</v>
      </c>
    </row>
    <row r="4" spans="1:9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5">
      <c r="A5" s="4" t="s">
        <v>11</v>
      </c>
      <c r="B5" s="5" t="s">
        <v>12</v>
      </c>
      <c r="C5" s="5" t="s">
        <v>13</v>
      </c>
      <c r="D5" s="5" t="s">
        <v>14</v>
      </c>
      <c r="E5" s="6">
        <v>4200</v>
      </c>
      <c r="F5" s="6">
        <v>3276</v>
      </c>
      <c r="G5" s="7">
        <f t="shared" ref="G5:G36" si="0">F5/E5</f>
        <v>0.78</v>
      </c>
      <c r="H5" s="8">
        <v>22</v>
      </c>
      <c r="I5" s="7">
        <v>0.88</v>
      </c>
    </row>
    <row r="6" spans="1:9" x14ac:dyDescent="0.35">
      <c r="A6" s="4" t="s">
        <v>11</v>
      </c>
      <c r="B6" s="5" t="s">
        <v>15</v>
      </c>
      <c r="C6" s="5" t="s">
        <v>16</v>
      </c>
      <c r="D6" s="5" t="s">
        <v>14</v>
      </c>
      <c r="E6" s="6">
        <v>9800</v>
      </c>
      <c r="F6" s="6">
        <v>8820</v>
      </c>
      <c r="G6" s="7">
        <f t="shared" si="0"/>
        <v>0.9</v>
      </c>
      <c r="H6" s="8">
        <v>4</v>
      </c>
      <c r="I6" s="7">
        <v>0.92</v>
      </c>
    </row>
    <row r="7" spans="1:9" x14ac:dyDescent="0.35">
      <c r="A7" s="4" t="s">
        <v>11</v>
      </c>
      <c r="B7" s="5" t="s">
        <v>17</v>
      </c>
      <c r="C7" s="5" t="s">
        <v>18</v>
      </c>
      <c r="D7" s="5" t="s">
        <v>19</v>
      </c>
      <c r="E7" s="6">
        <v>2600</v>
      </c>
      <c r="F7" s="6">
        <v>1716</v>
      </c>
      <c r="G7" s="7">
        <f t="shared" si="0"/>
        <v>0.66</v>
      </c>
      <c r="H7" s="8">
        <v>35</v>
      </c>
      <c r="I7" s="7">
        <v>0.84</v>
      </c>
    </row>
    <row r="8" spans="1:9" x14ac:dyDescent="0.35">
      <c r="A8" s="4" t="s">
        <v>11</v>
      </c>
      <c r="B8" s="5" t="s">
        <v>20</v>
      </c>
      <c r="C8" s="5" t="s">
        <v>21</v>
      </c>
      <c r="D8" s="5" t="s">
        <v>14</v>
      </c>
      <c r="E8" s="6">
        <v>15400</v>
      </c>
      <c r="F8" s="6">
        <v>14322</v>
      </c>
      <c r="G8" s="7">
        <f t="shared" si="0"/>
        <v>0.93</v>
      </c>
      <c r="H8" s="8">
        <v>3</v>
      </c>
      <c r="I8" s="7">
        <v>0.94</v>
      </c>
    </row>
    <row r="9" spans="1:9" x14ac:dyDescent="0.35">
      <c r="A9" s="4" t="s">
        <v>11</v>
      </c>
      <c r="B9" s="5" t="s">
        <v>22</v>
      </c>
      <c r="C9" s="5" t="s">
        <v>23</v>
      </c>
      <c r="D9" s="5" t="s">
        <v>24</v>
      </c>
      <c r="E9" s="6">
        <v>1800</v>
      </c>
      <c r="F9" s="6">
        <v>972</v>
      </c>
      <c r="G9" s="7">
        <f t="shared" si="0"/>
        <v>0.54</v>
      </c>
      <c r="H9" s="8">
        <v>48</v>
      </c>
      <c r="I9" s="7">
        <v>0.8</v>
      </c>
    </row>
    <row r="10" spans="1:9" x14ac:dyDescent="0.35">
      <c r="A10" s="4" t="s">
        <v>11</v>
      </c>
      <c r="B10" s="5" t="s">
        <v>25</v>
      </c>
      <c r="C10" s="5" t="s">
        <v>26</v>
      </c>
      <c r="D10" s="5" t="s">
        <v>19</v>
      </c>
      <c r="E10" s="6">
        <v>3300</v>
      </c>
      <c r="F10" s="6">
        <v>2343</v>
      </c>
      <c r="G10" s="7">
        <f t="shared" si="0"/>
        <v>0.71</v>
      </c>
      <c r="H10" s="8">
        <v>18</v>
      </c>
      <c r="I10" s="7">
        <v>0.86</v>
      </c>
    </row>
    <row r="11" spans="1:9" x14ac:dyDescent="0.35">
      <c r="A11" s="4" t="s">
        <v>11</v>
      </c>
      <c r="B11" s="5" t="s">
        <v>27</v>
      </c>
      <c r="C11" s="5" t="s">
        <v>28</v>
      </c>
      <c r="D11" s="5" t="s">
        <v>19</v>
      </c>
      <c r="E11" s="6">
        <v>1200</v>
      </c>
      <c r="F11" s="6">
        <v>1056</v>
      </c>
      <c r="G11" s="7">
        <f t="shared" si="0"/>
        <v>0.88</v>
      </c>
      <c r="H11" s="8">
        <v>6</v>
      </c>
      <c r="I11" s="7">
        <v>0.9</v>
      </c>
    </row>
    <row r="12" spans="1:9" x14ac:dyDescent="0.35">
      <c r="A12" s="4" t="s">
        <v>11</v>
      </c>
      <c r="B12" s="5" t="s">
        <v>29</v>
      </c>
      <c r="C12" s="5" t="s">
        <v>28</v>
      </c>
      <c r="D12" s="5" t="s">
        <v>14</v>
      </c>
      <c r="E12" s="6">
        <v>2100</v>
      </c>
      <c r="F12" s="6">
        <v>1722</v>
      </c>
      <c r="G12" s="7">
        <f t="shared" si="0"/>
        <v>0.82</v>
      </c>
      <c r="H12" s="8">
        <v>9</v>
      </c>
      <c r="I12" s="7">
        <v>0.89</v>
      </c>
    </row>
    <row r="13" spans="1:9" x14ac:dyDescent="0.35">
      <c r="A13" s="4" t="s">
        <v>30</v>
      </c>
      <c r="B13" s="5" t="s">
        <v>12</v>
      </c>
      <c r="C13" s="5" t="s">
        <v>13</v>
      </c>
      <c r="D13" s="5" t="s">
        <v>14</v>
      </c>
      <c r="E13" s="6">
        <v>4326</v>
      </c>
      <c r="F13" s="6">
        <v>3426</v>
      </c>
      <c r="G13" s="7">
        <f t="shared" si="0"/>
        <v>0.79195561719833563</v>
      </c>
      <c r="H13" s="8">
        <v>21.6</v>
      </c>
      <c r="I13" s="7">
        <v>0.88400000000000001</v>
      </c>
    </row>
    <row r="14" spans="1:9" x14ac:dyDescent="0.35">
      <c r="A14" s="4" t="s">
        <v>30</v>
      </c>
      <c r="B14" s="5" t="s">
        <v>15</v>
      </c>
      <c r="C14" s="5" t="s">
        <v>16</v>
      </c>
      <c r="D14" s="5" t="s">
        <v>14</v>
      </c>
      <c r="E14" s="6">
        <v>10094</v>
      </c>
      <c r="F14" s="6">
        <v>9206</v>
      </c>
      <c r="G14" s="7">
        <f t="shared" si="0"/>
        <v>0.91202694670101048</v>
      </c>
      <c r="H14" s="8">
        <v>3.9</v>
      </c>
      <c r="I14" s="7">
        <v>0.92400000000000004</v>
      </c>
    </row>
    <row r="15" spans="1:9" x14ac:dyDescent="0.35">
      <c r="A15" s="4" t="s">
        <v>30</v>
      </c>
      <c r="B15" s="5" t="s">
        <v>17</v>
      </c>
      <c r="C15" s="5" t="s">
        <v>18</v>
      </c>
      <c r="D15" s="5" t="s">
        <v>19</v>
      </c>
      <c r="E15" s="6">
        <v>2678</v>
      </c>
      <c r="F15" s="6">
        <v>1800</v>
      </c>
      <c r="G15" s="7">
        <f t="shared" si="0"/>
        <v>0.67214339058999251</v>
      </c>
      <c r="H15" s="8">
        <v>34.299999999999997</v>
      </c>
      <c r="I15" s="7">
        <v>0.84400000000000008</v>
      </c>
    </row>
    <row r="16" spans="1:9" x14ac:dyDescent="0.35">
      <c r="A16" s="4" t="s">
        <v>30</v>
      </c>
      <c r="B16" s="5" t="s">
        <v>20</v>
      </c>
      <c r="C16" s="5" t="s">
        <v>21</v>
      </c>
      <c r="D16" s="5" t="s">
        <v>14</v>
      </c>
      <c r="E16" s="6">
        <v>15862</v>
      </c>
      <c r="F16" s="6">
        <v>14942</v>
      </c>
      <c r="G16" s="7">
        <f t="shared" si="0"/>
        <v>0.94199974782499052</v>
      </c>
      <c r="H16" s="8">
        <v>2.9</v>
      </c>
      <c r="I16" s="7">
        <v>0.94400000000000006</v>
      </c>
    </row>
    <row r="17" spans="1:9" x14ac:dyDescent="0.35">
      <c r="A17" s="4" t="s">
        <v>30</v>
      </c>
      <c r="B17" s="5" t="s">
        <v>22</v>
      </c>
      <c r="C17" s="5" t="s">
        <v>23</v>
      </c>
      <c r="D17" s="5" t="s">
        <v>24</v>
      </c>
      <c r="E17" s="6">
        <v>1854</v>
      </c>
      <c r="F17" s="6">
        <v>1023</v>
      </c>
      <c r="G17" s="7">
        <f t="shared" si="0"/>
        <v>0.55177993527508096</v>
      </c>
      <c r="H17" s="8">
        <v>47</v>
      </c>
      <c r="I17" s="7">
        <v>0.80400000000000005</v>
      </c>
    </row>
    <row r="18" spans="1:9" x14ac:dyDescent="0.35">
      <c r="A18" s="4" t="s">
        <v>30</v>
      </c>
      <c r="B18" s="5" t="s">
        <v>25</v>
      </c>
      <c r="C18" s="5" t="s">
        <v>26</v>
      </c>
      <c r="D18" s="5" t="s">
        <v>19</v>
      </c>
      <c r="E18" s="6">
        <v>3399</v>
      </c>
      <c r="F18" s="6">
        <v>2454</v>
      </c>
      <c r="G18" s="7">
        <f t="shared" si="0"/>
        <v>0.72197705207413942</v>
      </c>
      <c r="H18" s="8">
        <v>17.600000000000001</v>
      </c>
      <c r="I18" s="7">
        <v>0.8640000000000001</v>
      </c>
    </row>
    <row r="19" spans="1:9" x14ac:dyDescent="0.35">
      <c r="A19" s="4" t="s">
        <v>30</v>
      </c>
      <c r="B19" s="5" t="s">
        <v>27</v>
      </c>
      <c r="C19" s="5" t="s">
        <v>28</v>
      </c>
      <c r="D19" s="5" t="s">
        <v>19</v>
      </c>
      <c r="E19" s="6">
        <v>1236</v>
      </c>
      <c r="F19" s="6">
        <v>1103</v>
      </c>
      <c r="G19" s="7">
        <f t="shared" si="0"/>
        <v>0.89239482200647247</v>
      </c>
      <c r="H19" s="8">
        <v>5.9</v>
      </c>
      <c r="I19" s="7">
        <v>0.90400000000000003</v>
      </c>
    </row>
    <row r="20" spans="1:9" x14ac:dyDescent="0.35">
      <c r="A20" s="4" t="s">
        <v>30</v>
      </c>
      <c r="B20" s="5" t="s">
        <v>29</v>
      </c>
      <c r="C20" s="5" t="s">
        <v>28</v>
      </c>
      <c r="D20" s="5" t="s">
        <v>14</v>
      </c>
      <c r="E20" s="6">
        <v>2163</v>
      </c>
      <c r="F20" s="6">
        <v>1800</v>
      </c>
      <c r="G20" s="7">
        <f t="shared" si="0"/>
        <v>0.83217753120665738</v>
      </c>
      <c r="H20" s="8">
        <v>8.8000000000000007</v>
      </c>
      <c r="I20" s="7">
        <v>0.89400000000000002</v>
      </c>
    </row>
    <row r="21" spans="1:9" x14ac:dyDescent="0.35">
      <c r="A21" s="4" t="s">
        <v>31</v>
      </c>
      <c r="B21" s="5" t="s">
        <v>12</v>
      </c>
      <c r="C21" s="5" t="s">
        <v>13</v>
      </c>
      <c r="D21" s="5" t="s">
        <v>14</v>
      </c>
      <c r="E21" s="6">
        <v>4452</v>
      </c>
      <c r="F21" s="6">
        <v>3579</v>
      </c>
      <c r="G21" s="7">
        <f t="shared" si="0"/>
        <v>0.8039083557951483</v>
      </c>
      <c r="H21" s="8">
        <v>21.1</v>
      </c>
      <c r="I21" s="7">
        <v>0.88800000000000001</v>
      </c>
    </row>
    <row r="22" spans="1:9" x14ac:dyDescent="0.35">
      <c r="A22" s="4" t="s">
        <v>31</v>
      </c>
      <c r="B22" s="5" t="s">
        <v>15</v>
      </c>
      <c r="C22" s="5" t="s">
        <v>16</v>
      </c>
      <c r="D22" s="5" t="s">
        <v>14</v>
      </c>
      <c r="E22" s="6">
        <v>10388</v>
      </c>
      <c r="F22" s="6">
        <v>9599</v>
      </c>
      <c r="G22" s="7">
        <f t="shared" si="0"/>
        <v>0.92404697728147867</v>
      </c>
      <c r="H22" s="8">
        <v>3.8</v>
      </c>
      <c r="I22" s="7">
        <v>0.92799999999999994</v>
      </c>
    </row>
    <row r="23" spans="1:9" x14ac:dyDescent="0.35">
      <c r="A23" s="4" t="s">
        <v>31</v>
      </c>
      <c r="B23" s="5" t="s">
        <v>17</v>
      </c>
      <c r="C23" s="5" t="s">
        <v>18</v>
      </c>
      <c r="D23" s="5" t="s">
        <v>19</v>
      </c>
      <c r="E23" s="6">
        <v>2756</v>
      </c>
      <c r="F23" s="6">
        <v>1885</v>
      </c>
      <c r="G23" s="7">
        <f t="shared" si="0"/>
        <v>0.68396226415094341</v>
      </c>
      <c r="H23" s="8">
        <v>33.6</v>
      </c>
      <c r="I23" s="7">
        <v>0.84799999999999998</v>
      </c>
    </row>
    <row r="24" spans="1:9" x14ac:dyDescent="0.35">
      <c r="A24" s="4" t="s">
        <v>31</v>
      </c>
      <c r="B24" s="5" t="s">
        <v>20</v>
      </c>
      <c r="C24" s="5" t="s">
        <v>21</v>
      </c>
      <c r="D24" s="5" t="s">
        <v>14</v>
      </c>
      <c r="E24" s="6">
        <v>16324</v>
      </c>
      <c r="F24" s="6">
        <v>15573</v>
      </c>
      <c r="G24" s="7">
        <f t="shared" si="0"/>
        <v>0.95399411908845866</v>
      </c>
      <c r="H24" s="8">
        <v>2.9</v>
      </c>
      <c r="I24" s="7">
        <v>0.94799999999999995</v>
      </c>
    </row>
    <row r="25" spans="1:9" x14ac:dyDescent="0.35">
      <c r="A25" s="4" t="s">
        <v>31</v>
      </c>
      <c r="B25" s="5" t="s">
        <v>22</v>
      </c>
      <c r="C25" s="5" t="s">
        <v>23</v>
      </c>
      <c r="D25" s="5" t="s">
        <v>24</v>
      </c>
      <c r="E25" s="6">
        <v>1908</v>
      </c>
      <c r="F25" s="6">
        <v>1076</v>
      </c>
      <c r="G25" s="7">
        <f t="shared" si="0"/>
        <v>0.56394129979035634</v>
      </c>
      <c r="H25" s="8">
        <v>46.1</v>
      </c>
      <c r="I25" s="7">
        <v>0.80799999999999994</v>
      </c>
    </row>
    <row r="26" spans="1:9" x14ac:dyDescent="0.35">
      <c r="A26" s="4" t="s">
        <v>31</v>
      </c>
      <c r="B26" s="5" t="s">
        <v>25</v>
      </c>
      <c r="C26" s="5" t="s">
        <v>26</v>
      </c>
      <c r="D26" s="5" t="s">
        <v>19</v>
      </c>
      <c r="E26" s="6">
        <v>3498</v>
      </c>
      <c r="F26" s="6">
        <v>2568</v>
      </c>
      <c r="G26" s="7">
        <f t="shared" si="0"/>
        <v>0.73413379073756435</v>
      </c>
      <c r="H26" s="8">
        <v>17.3</v>
      </c>
      <c r="I26" s="7">
        <v>0.86799999999999999</v>
      </c>
    </row>
    <row r="27" spans="1:9" x14ac:dyDescent="0.35">
      <c r="A27" s="4" t="s">
        <v>31</v>
      </c>
      <c r="B27" s="5" t="s">
        <v>27</v>
      </c>
      <c r="C27" s="5" t="s">
        <v>28</v>
      </c>
      <c r="D27" s="5" t="s">
        <v>19</v>
      </c>
      <c r="E27" s="6">
        <v>1272</v>
      </c>
      <c r="F27" s="6">
        <v>1150</v>
      </c>
      <c r="G27" s="7">
        <f t="shared" si="0"/>
        <v>0.90408805031446537</v>
      </c>
      <c r="H27" s="8">
        <v>5.8</v>
      </c>
      <c r="I27" s="7">
        <v>0.90799999999999992</v>
      </c>
    </row>
    <row r="28" spans="1:9" x14ac:dyDescent="0.35">
      <c r="A28" s="4" t="s">
        <v>31</v>
      </c>
      <c r="B28" s="5" t="s">
        <v>29</v>
      </c>
      <c r="C28" s="5" t="s">
        <v>28</v>
      </c>
      <c r="D28" s="5" t="s">
        <v>14</v>
      </c>
      <c r="E28" s="6">
        <v>2226</v>
      </c>
      <c r="F28" s="6">
        <v>1879</v>
      </c>
      <c r="G28" s="7">
        <f t="shared" si="0"/>
        <v>0.84411500449236299</v>
      </c>
      <c r="H28" s="8">
        <v>8.6</v>
      </c>
      <c r="I28" s="7">
        <v>0.89800000000000002</v>
      </c>
    </row>
    <row r="29" spans="1:9" x14ac:dyDescent="0.35">
      <c r="A29" s="4" t="s">
        <v>32</v>
      </c>
      <c r="B29" s="5" t="s">
        <v>12</v>
      </c>
      <c r="C29" s="5" t="s">
        <v>13</v>
      </c>
      <c r="D29" s="5" t="s">
        <v>14</v>
      </c>
      <c r="E29" s="6">
        <v>4578</v>
      </c>
      <c r="F29" s="6">
        <v>3736</v>
      </c>
      <c r="G29" s="7">
        <f t="shared" si="0"/>
        <v>0.8160768894713849</v>
      </c>
      <c r="H29" s="8">
        <v>20.7</v>
      </c>
      <c r="I29" s="7">
        <v>0.89200000000000002</v>
      </c>
    </row>
    <row r="30" spans="1:9" x14ac:dyDescent="0.35">
      <c r="A30" s="4" t="s">
        <v>32</v>
      </c>
      <c r="B30" s="5" t="s">
        <v>15</v>
      </c>
      <c r="C30" s="5" t="s">
        <v>16</v>
      </c>
      <c r="D30" s="5" t="s">
        <v>14</v>
      </c>
      <c r="E30" s="6">
        <v>10682</v>
      </c>
      <c r="F30" s="6">
        <v>9998</v>
      </c>
      <c r="G30" s="7">
        <f t="shared" si="0"/>
        <v>0.9359670473694065</v>
      </c>
      <c r="H30" s="8">
        <v>3.8</v>
      </c>
      <c r="I30" s="7">
        <v>0.93200000000000005</v>
      </c>
    </row>
    <row r="31" spans="1:9" x14ac:dyDescent="0.35">
      <c r="A31" s="4" t="s">
        <v>32</v>
      </c>
      <c r="B31" s="5" t="s">
        <v>17</v>
      </c>
      <c r="C31" s="5" t="s">
        <v>18</v>
      </c>
      <c r="D31" s="5" t="s">
        <v>19</v>
      </c>
      <c r="E31" s="6">
        <v>2834</v>
      </c>
      <c r="F31" s="6">
        <v>1972</v>
      </c>
      <c r="G31" s="7">
        <f t="shared" si="0"/>
        <v>0.69583627381792523</v>
      </c>
      <c r="H31" s="8">
        <v>32.9</v>
      </c>
      <c r="I31" s="7">
        <v>0.85199999999999998</v>
      </c>
    </row>
    <row r="32" spans="1:9" x14ac:dyDescent="0.35">
      <c r="A32" s="4" t="s">
        <v>32</v>
      </c>
      <c r="B32" s="5" t="s">
        <v>20</v>
      </c>
      <c r="C32" s="5" t="s">
        <v>21</v>
      </c>
      <c r="D32" s="5" t="s">
        <v>14</v>
      </c>
      <c r="E32" s="6">
        <v>16786</v>
      </c>
      <c r="F32" s="6">
        <v>16215</v>
      </c>
      <c r="G32" s="7">
        <f t="shared" si="0"/>
        <v>0.96598355772667699</v>
      </c>
      <c r="H32" s="8">
        <v>2.8</v>
      </c>
      <c r="I32" s="7">
        <v>0.95200000000000007</v>
      </c>
    </row>
    <row r="33" spans="1:9" x14ac:dyDescent="0.35">
      <c r="A33" s="4" t="s">
        <v>32</v>
      </c>
      <c r="B33" s="5" t="s">
        <v>22</v>
      </c>
      <c r="C33" s="5" t="s">
        <v>23</v>
      </c>
      <c r="D33" s="5" t="s">
        <v>24</v>
      </c>
      <c r="E33" s="6">
        <v>1962</v>
      </c>
      <c r="F33" s="6">
        <v>1130</v>
      </c>
      <c r="G33" s="7">
        <f t="shared" si="0"/>
        <v>0.57594291539245668</v>
      </c>
      <c r="H33" s="8">
        <v>45.1</v>
      </c>
      <c r="I33" s="7">
        <v>0.81200000000000006</v>
      </c>
    </row>
    <row r="34" spans="1:9" x14ac:dyDescent="0.35">
      <c r="A34" s="4" t="s">
        <v>32</v>
      </c>
      <c r="B34" s="5" t="s">
        <v>25</v>
      </c>
      <c r="C34" s="5" t="s">
        <v>26</v>
      </c>
      <c r="D34" s="5" t="s">
        <v>19</v>
      </c>
      <c r="E34" s="6">
        <v>3597</v>
      </c>
      <c r="F34" s="6">
        <v>2683</v>
      </c>
      <c r="G34" s="7">
        <f t="shared" si="0"/>
        <v>0.74589936057825967</v>
      </c>
      <c r="H34" s="8">
        <v>16.899999999999999</v>
      </c>
      <c r="I34" s="7">
        <v>0.872</v>
      </c>
    </row>
    <row r="35" spans="1:9" x14ac:dyDescent="0.35">
      <c r="A35" s="4" t="s">
        <v>32</v>
      </c>
      <c r="B35" s="5" t="s">
        <v>27</v>
      </c>
      <c r="C35" s="5" t="s">
        <v>28</v>
      </c>
      <c r="D35" s="5" t="s">
        <v>19</v>
      </c>
      <c r="E35" s="6">
        <v>1308</v>
      </c>
      <c r="F35" s="6">
        <v>1198</v>
      </c>
      <c r="G35" s="7">
        <f t="shared" si="0"/>
        <v>0.91590214067278286</v>
      </c>
      <c r="H35" s="8">
        <v>5.6</v>
      </c>
      <c r="I35" s="7">
        <v>0.91200000000000003</v>
      </c>
    </row>
    <row r="36" spans="1:9" x14ac:dyDescent="0.35">
      <c r="A36" s="4" t="s">
        <v>32</v>
      </c>
      <c r="B36" s="5" t="s">
        <v>29</v>
      </c>
      <c r="C36" s="5" t="s">
        <v>28</v>
      </c>
      <c r="D36" s="5" t="s">
        <v>14</v>
      </c>
      <c r="E36" s="6">
        <v>2289</v>
      </c>
      <c r="F36" s="6">
        <v>1959</v>
      </c>
      <c r="G36" s="7">
        <f t="shared" si="0"/>
        <v>0.85583224115334211</v>
      </c>
      <c r="H36" s="8">
        <v>8.5</v>
      </c>
      <c r="I36" s="7">
        <v>0.90200000000000002</v>
      </c>
    </row>
    <row r="37" spans="1:9" x14ac:dyDescent="0.35">
      <c r="A37" s="4" t="s">
        <v>33</v>
      </c>
      <c r="B37" s="5" t="s">
        <v>12</v>
      </c>
      <c r="C37" s="5" t="s">
        <v>13</v>
      </c>
      <c r="D37" s="5" t="s">
        <v>14</v>
      </c>
      <c r="E37" s="6">
        <v>4704</v>
      </c>
      <c r="F37" s="6">
        <v>3895</v>
      </c>
      <c r="G37" s="7">
        <f t="shared" ref="G37:G68" si="1">F37/E37</f>
        <v>0.82801870748299322</v>
      </c>
      <c r="H37" s="8">
        <v>20.2</v>
      </c>
      <c r="I37" s="7">
        <v>0.89599999999999991</v>
      </c>
    </row>
    <row r="38" spans="1:9" x14ac:dyDescent="0.35">
      <c r="A38" s="4" t="s">
        <v>33</v>
      </c>
      <c r="B38" s="5" t="s">
        <v>15</v>
      </c>
      <c r="C38" s="5" t="s">
        <v>16</v>
      </c>
      <c r="D38" s="5" t="s">
        <v>14</v>
      </c>
      <c r="E38" s="6">
        <v>10976</v>
      </c>
      <c r="F38" s="6">
        <v>10405</v>
      </c>
      <c r="G38" s="7">
        <f t="shared" si="1"/>
        <v>0.94797740524781338</v>
      </c>
      <c r="H38" s="8">
        <v>3.7</v>
      </c>
      <c r="I38" s="7">
        <v>0.93599999999999994</v>
      </c>
    </row>
    <row r="39" spans="1:9" x14ac:dyDescent="0.35">
      <c r="A39" s="4" t="s">
        <v>33</v>
      </c>
      <c r="B39" s="5" t="s">
        <v>17</v>
      </c>
      <c r="C39" s="5" t="s">
        <v>18</v>
      </c>
      <c r="D39" s="5" t="s">
        <v>19</v>
      </c>
      <c r="E39" s="6">
        <v>2912</v>
      </c>
      <c r="F39" s="6">
        <v>2062</v>
      </c>
      <c r="G39" s="7">
        <f t="shared" si="1"/>
        <v>0.70810439560439564</v>
      </c>
      <c r="H39" s="8">
        <v>32.200000000000003</v>
      </c>
      <c r="I39" s="7">
        <v>0.85599999999999998</v>
      </c>
    </row>
    <row r="40" spans="1:9" x14ac:dyDescent="0.35">
      <c r="A40" s="4" t="s">
        <v>33</v>
      </c>
      <c r="B40" s="5" t="s">
        <v>20</v>
      </c>
      <c r="C40" s="5" t="s">
        <v>21</v>
      </c>
      <c r="D40" s="5" t="s">
        <v>14</v>
      </c>
      <c r="E40" s="6">
        <v>17248</v>
      </c>
      <c r="F40" s="6">
        <v>16869</v>
      </c>
      <c r="G40" s="7">
        <f t="shared" si="1"/>
        <v>0.97802643784786647</v>
      </c>
      <c r="H40" s="8">
        <v>2.8</v>
      </c>
      <c r="I40" s="7">
        <v>0.95599999999999996</v>
      </c>
    </row>
    <row r="41" spans="1:9" x14ac:dyDescent="0.35">
      <c r="A41" s="4" t="s">
        <v>33</v>
      </c>
      <c r="B41" s="5" t="s">
        <v>22</v>
      </c>
      <c r="C41" s="5" t="s">
        <v>23</v>
      </c>
      <c r="D41" s="5" t="s">
        <v>24</v>
      </c>
      <c r="E41" s="6">
        <v>2016</v>
      </c>
      <c r="F41" s="6">
        <v>1185</v>
      </c>
      <c r="G41" s="7">
        <f t="shared" si="1"/>
        <v>0.58779761904761907</v>
      </c>
      <c r="H41" s="8">
        <v>44.2</v>
      </c>
      <c r="I41" s="7">
        <v>0.81599999999999995</v>
      </c>
    </row>
    <row r="42" spans="1:9" x14ac:dyDescent="0.35">
      <c r="A42" s="4" t="s">
        <v>33</v>
      </c>
      <c r="B42" s="5" t="s">
        <v>25</v>
      </c>
      <c r="C42" s="5" t="s">
        <v>26</v>
      </c>
      <c r="D42" s="5" t="s">
        <v>19</v>
      </c>
      <c r="E42" s="6">
        <v>3696</v>
      </c>
      <c r="F42" s="6">
        <v>2802</v>
      </c>
      <c r="G42" s="7">
        <f t="shared" si="1"/>
        <v>0.75811688311688308</v>
      </c>
      <c r="H42" s="8">
        <v>16.600000000000001</v>
      </c>
      <c r="I42" s="7">
        <v>0.87599999999999989</v>
      </c>
    </row>
    <row r="43" spans="1:9" x14ac:dyDescent="0.35">
      <c r="A43" s="4" t="s">
        <v>33</v>
      </c>
      <c r="B43" s="5" t="s">
        <v>27</v>
      </c>
      <c r="C43" s="5" t="s">
        <v>28</v>
      </c>
      <c r="D43" s="5" t="s">
        <v>19</v>
      </c>
      <c r="E43" s="6">
        <v>1344</v>
      </c>
      <c r="F43" s="6">
        <v>1247</v>
      </c>
      <c r="G43" s="7">
        <f t="shared" si="1"/>
        <v>0.92782738095238093</v>
      </c>
      <c r="H43" s="8">
        <v>5.5</v>
      </c>
      <c r="I43" s="7">
        <v>0.91599999999999993</v>
      </c>
    </row>
    <row r="44" spans="1:9" x14ac:dyDescent="0.35">
      <c r="A44" s="4" t="s">
        <v>33</v>
      </c>
      <c r="B44" s="5" t="s">
        <v>29</v>
      </c>
      <c r="C44" s="5" t="s">
        <v>28</v>
      </c>
      <c r="D44" s="5" t="s">
        <v>14</v>
      </c>
      <c r="E44" s="6">
        <v>2352</v>
      </c>
      <c r="F44" s="6">
        <v>2042</v>
      </c>
      <c r="G44" s="7">
        <f t="shared" si="1"/>
        <v>0.86819727891156462</v>
      </c>
      <c r="H44" s="8">
        <v>8.3000000000000007</v>
      </c>
      <c r="I44" s="7">
        <v>0.90599999999999992</v>
      </c>
    </row>
    <row r="45" spans="1:9" x14ac:dyDescent="0.35">
      <c r="A45" s="4" t="s">
        <v>34</v>
      </c>
      <c r="B45" s="5" t="s">
        <v>12</v>
      </c>
      <c r="C45" s="5" t="s">
        <v>13</v>
      </c>
      <c r="D45" s="5" t="s">
        <v>14</v>
      </c>
      <c r="E45" s="6">
        <v>4830</v>
      </c>
      <c r="F45" s="6">
        <v>4057</v>
      </c>
      <c r="G45" s="7">
        <f t="shared" si="1"/>
        <v>0.83995859213250512</v>
      </c>
      <c r="H45" s="8">
        <v>19.8</v>
      </c>
      <c r="I45" s="7">
        <v>0.9</v>
      </c>
    </row>
    <row r="46" spans="1:9" x14ac:dyDescent="0.35">
      <c r="A46" s="4" t="s">
        <v>34</v>
      </c>
      <c r="B46" s="5" t="s">
        <v>15</v>
      </c>
      <c r="C46" s="5" t="s">
        <v>16</v>
      </c>
      <c r="D46" s="5" t="s">
        <v>14</v>
      </c>
      <c r="E46" s="6">
        <v>11270</v>
      </c>
      <c r="F46" s="6">
        <v>10819</v>
      </c>
      <c r="G46" s="7">
        <f t="shared" si="1"/>
        <v>0.9599822537710736</v>
      </c>
      <c r="H46" s="8">
        <v>3.6</v>
      </c>
      <c r="I46" s="7">
        <v>0.94</v>
      </c>
    </row>
    <row r="47" spans="1:9" x14ac:dyDescent="0.35">
      <c r="A47" s="4" t="s">
        <v>34</v>
      </c>
      <c r="B47" s="5" t="s">
        <v>17</v>
      </c>
      <c r="C47" s="5" t="s">
        <v>18</v>
      </c>
      <c r="D47" s="5" t="s">
        <v>19</v>
      </c>
      <c r="E47" s="6">
        <v>2990</v>
      </c>
      <c r="F47" s="6">
        <v>2153</v>
      </c>
      <c r="G47" s="7">
        <f t="shared" si="1"/>
        <v>0.72006688963210708</v>
      </c>
      <c r="H47" s="8">
        <v>31.5</v>
      </c>
      <c r="I47" s="7">
        <v>0.86</v>
      </c>
    </row>
    <row r="48" spans="1:9" x14ac:dyDescent="0.35">
      <c r="A48" s="4" t="s">
        <v>34</v>
      </c>
      <c r="B48" s="5" t="s">
        <v>20</v>
      </c>
      <c r="C48" s="5" t="s">
        <v>21</v>
      </c>
      <c r="D48" s="5" t="s">
        <v>14</v>
      </c>
      <c r="E48" s="6">
        <v>17710</v>
      </c>
      <c r="F48" s="6">
        <v>17444</v>
      </c>
      <c r="G48" s="7">
        <f t="shared" si="1"/>
        <v>0.98498023715415017</v>
      </c>
      <c r="H48" s="8">
        <v>2.7</v>
      </c>
      <c r="I48" s="7">
        <v>0.96</v>
      </c>
    </row>
    <row r="49" spans="1:9" x14ac:dyDescent="0.35">
      <c r="A49" s="4" t="s">
        <v>34</v>
      </c>
      <c r="B49" s="5" t="s">
        <v>22</v>
      </c>
      <c r="C49" s="5" t="s">
        <v>23</v>
      </c>
      <c r="D49" s="5" t="s">
        <v>24</v>
      </c>
      <c r="E49" s="6">
        <v>2070</v>
      </c>
      <c r="F49" s="6">
        <v>1242</v>
      </c>
      <c r="G49" s="7">
        <f t="shared" si="1"/>
        <v>0.6</v>
      </c>
      <c r="H49" s="8">
        <v>43.2</v>
      </c>
      <c r="I49" s="7">
        <v>0.82</v>
      </c>
    </row>
    <row r="50" spans="1:9" x14ac:dyDescent="0.35">
      <c r="A50" s="4" t="s">
        <v>34</v>
      </c>
      <c r="B50" s="5" t="s">
        <v>25</v>
      </c>
      <c r="C50" s="5" t="s">
        <v>26</v>
      </c>
      <c r="D50" s="5" t="s">
        <v>19</v>
      </c>
      <c r="E50" s="6">
        <v>3795</v>
      </c>
      <c r="F50" s="6">
        <v>2922</v>
      </c>
      <c r="G50" s="7">
        <f t="shared" si="1"/>
        <v>0.76996047430830039</v>
      </c>
      <c r="H50" s="8">
        <v>16.2</v>
      </c>
      <c r="I50" s="7">
        <v>0.88</v>
      </c>
    </row>
    <row r="51" spans="1:9" x14ac:dyDescent="0.35">
      <c r="A51" s="4" t="s">
        <v>34</v>
      </c>
      <c r="B51" s="5" t="s">
        <v>27</v>
      </c>
      <c r="C51" s="5" t="s">
        <v>28</v>
      </c>
      <c r="D51" s="5" t="s">
        <v>19</v>
      </c>
      <c r="E51" s="6">
        <v>1380</v>
      </c>
      <c r="F51" s="6">
        <v>1297</v>
      </c>
      <c r="G51" s="7">
        <f t="shared" si="1"/>
        <v>0.93985507246376809</v>
      </c>
      <c r="H51" s="8">
        <v>5.4</v>
      </c>
      <c r="I51" s="7">
        <v>0.92</v>
      </c>
    </row>
    <row r="52" spans="1:9" x14ac:dyDescent="0.35">
      <c r="A52" s="4" t="s">
        <v>34</v>
      </c>
      <c r="B52" s="5" t="s">
        <v>29</v>
      </c>
      <c r="C52" s="5" t="s">
        <v>28</v>
      </c>
      <c r="D52" s="5" t="s">
        <v>14</v>
      </c>
      <c r="E52" s="6">
        <v>2415</v>
      </c>
      <c r="F52" s="6">
        <v>2125</v>
      </c>
      <c r="G52" s="7">
        <f t="shared" si="1"/>
        <v>0.87991718426501031</v>
      </c>
      <c r="H52" s="8">
        <v>8.1</v>
      </c>
      <c r="I52" s="7">
        <v>0.91</v>
      </c>
    </row>
    <row r="53" spans="1:9" x14ac:dyDescent="0.35">
      <c r="A53" s="9" t="s">
        <v>35</v>
      </c>
      <c r="B53" s="9" t="s">
        <v>36</v>
      </c>
      <c r="C53" s="9"/>
      <c r="D53" s="9"/>
      <c r="E53" s="10">
        <f>SUM(E5:E52)</f>
        <v>260580</v>
      </c>
      <c r="F53" s="10">
        <f>SUM(F5:F52)</f>
        <v>228747</v>
      </c>
      <c r="G53" s="11">
        <f t="shared" si="1"/>
        <v>0.87783790006907669</v>
      </c>
      <c r="H53" s="12">
        <f>AVERAGE(H5:H52)</f>
        <v>17.218750000000007</v>
      </c>
      <c r="I53" s="11">
        <f>AVERAGE(I5:I52)</f>
        <v>0.88874999999999993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6" customWidth="1"/>
    <col min="2" max="2" width="18" customWidth="1"/>
    <col min="3" max="3" width="20" customWidth="1"/>
    <col min="4" max="4" width="18" customWidth="1"/>
    <col min="5" max="5" width="26" customWidth="1"/>
    <col min="6" max="6" width="18" customWidth="1"/>
  </cols>
  <sheetData>
    <row r="1" spans="1:6" ht="19" x14ac:dyDescent="0.4">
      <c r="A1" s="1" t="s">
        <v>37</v>
      </c>
    </row>
    <row r="2" spans="1:6" x14ac:dyDescent="0.35">
      <c r="A2" s="2" t="s">
        <v>38</v>
      </c>
    </row>
    <row r="4" spans="1:6" x14ac:dyDescent="0.35">
      <c r="A4" s="3" t="s">
        <v>3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39</v>
      </c>
    </row>
    <row r="5" spans="1:6" x14ac:dyDescent="0.35">
      <c r="A5" s="5" t="s">
        <v>12</v>
      </c>
      <c r="B5" s="6">
        <f>SUMIF('Service Adoption'!$B$5:$B$52,A5,'Service Adoption'!$E$5:$E$52)</f>
        <v>27090</v>
      </c>
      <c r="C5" s="6">
        <f>SUMIF('Service Adoption'!$B$5:$B$52,A5,'Service Adoption'!$F$5:$F$52)</f>
        <v>21969</v>
      </c>
      <c r="D5" s="7">
        <f t="shared" ref="D5:D13" si="0">C5/B5</f>
        <v>0.81096345514950163</v>
      </c>
      <c r="E5" s="8">
        <f>AVERAGEIF('Service Adoption'!$B$5:$B$52,A5,'Service Adoption'!$H$5:$H$52)</f>
        <v>20.900000000000002</v>
      </c>
      <c r="F5" s="7">
        <f>AVERAGEIF('Service Adoption'!$B$5:$B$52,A5,'Service Adoption'!$I$5:$I$52)</f>
        <v>0.89</v>
      </c>
    </row>
    <row r="6" spans="1:6" x14ac:dyDescent="0.35">
      <c r="A6" s="5" t="s">
        <v>15</v>
      </c>
      <c r="B6" s="6">
        <f>SUMIF('Service Adoption'!$B$5:$B$52,A6,'Service Adoption'!$E$5:$E$52)</f>
        <v>63210</v>
      </c>
      <c r="C6" s="6">
        <f>SUMIF('Service Adoption'!$B$5:$B$52,A6,'Service Adoption'!$F$5:$F$52)</f>
        <v>58847</v>
      </c>
      <c r="D6" s="7">
        <f t="shared" si="0"/>
        <v>0.93097611137478242</v>
      </c>
      <c r="E6" s="8">
        <f>AVERAGEIF('Service Adoption'!$B$5:$B$52,A6,'Service Adoption'!$H$5:$H$52)</f>
        <v>3.8000000000000003</v>
      </c>
      <c r="F6" s="7">
        <f>AVERAGEIF('Service Adoption'!$B$5:$B$52,A6,'Service Adoption'!$I$5:$I$52)</f>
        <v>0.93</v>
      </c>
    </row>
    <row r="7" spans="1:6" x14ac:dyDescent="0.35">
      <c r="A7" s="5" t="s">
        <v>17</v>
      </c>
      <c r="B7" s="6">
        <f>SUMIF('Service Adoption'!$B$5:$B$52,A7,'Service Adoption'!$E$5:$E$52)</f>
        <v>16770</v>
      </c>
      <c r="C7" s="6">
        <f>SUMIF('Service Adoption'!$B$5:$B$52,A7,'Service Adoption'!$F$5:$F$52)</f>
        <v>11588</v>
      </c>
      <c r="D7" s="7">
        <f t="shared" si="0"/>
        <v>0.69099582587954678</v>
      </c>
      <c r="E7" s="8">
        <f>AVERAGEIF('Service Adoption'!$B$5:$B$52,A7,'Service Adoption'!$H$5:$H$52)</f>
        <v>33.25</v>
      </c>
      <c r="F7" s="7">
        <f>AVERAGEIF('Service Adoption'!$B$5:$B$52,A7,'Service Adoption'!$I$5:$I$52)</f>
        <v>0.85000000000000009</v>
      </c>
    </row>
    <row r="8" spans="1:6" x14ac:dyDescent="0.35">
      <c r="A8" s="5" t="s">
        <v>20</v>
      </c>
      <c r="B8" s="6">
        <f>SUMIF('Service Adoption'!$B$5:$B$52,A8,'Service Adoption'!$E$5:$E$52)</f>
        <v>99330</v>
      </c>
      <c r="C8" s="6">
        <f>SUMIF('Service Adoption'!$B$5:$B$52,A8,'Service Adoption'!$F$5:$F$52)</f>
        <v>95365</v>
      </c>
      <c r="D8" s="7">
        <f t="shared" si="0"/>
        <v>0.96008255310580892</v>
      </c>
      <c r="E8" s="8">
        <f>AVERAGEIF('Service Adoption'!$B$5:$B$52,A8,'Service Adoption'!$H$5:$H$52)</f>
        <v>2.85</v>
      </c>
      <c r="F8" s="7">
        <f>AVERAGEIF('Service Adoption'!$B$5:$B$52,A8,'Service Adoption'!$I$5:$I$52)</f>
        <v>0.95000000000000007</v>
      </c>
    </row>
    <row r="9" spans="1:6" x14ac:dyDescent="0.35">
      <c r="A9" s="5" t="s">
        <v>22</v>
      </c>
      <c r="B9" s="6">
        <f>SUMIF('Service Adoption'!$B$5:$B$52,A9,'Service Adoption'!$E$5:$E$52)</f>
        <v>11610</v>
      </c>
      <c r="C9" s="6">
        <f>SUMIF('Service Adoption'!$B$5:$B$52,A9,'Service Adoption'!$F$5:$F$52)</f>
        <v>6628</v>
      </c>
      <c r="D9" s="7">
        <f t="shared" si="0"/>
        <v>0.57088716623600344</v>
      </c>
      <c r="E9" s="8">
        <f>AVERAGEIF('Service Adoption'!$B$5:$B$52,A9,'Service Adoption'!$H$5:$H$52)</f>
        <v>45.599999999999994</v>
      </c>
      <c r="F9" s="7">
        <f>AVERAGEIF('Service Adoption'!$B$5:$B$52,A9,'Service Adoption'!$I$5:$I$52)</f>
        <v>0.81</v>
      </c>
    </row>
    <row r="10" spans="1:6" x14ac:dyDescent="0.35">
      <c r="A10" s="5" t="s">
        <v>25</v>
      </c>
      <c r="B10" s="6">
        <f>SUMIF('Service Adoption'!$B$5:$B$52,A10,'Service Adoption'!$E$5:$E$52)</f>
        <v>21285</v>
      </c>
      <c r="C10" s="6">
        <f>SUMIF('Service Adoption'!$B$5:$B$52,A10,'Service Adoption'!$F$5:$F$52)</f>
        <v>15772</v>
      </c>
      <c r="D10" s="7">
        <f t="shared" si="0"/>
        <v>0.74099130843316885</v>
      </c>
      <c r="E10" s="8">
        <f>AVERAGEIF('Service Adoption'!$B$5:$B$52,A10,'Service Adoption'!$H$5:$H$52)</f>
        <v>17.100000000000001</v>
      </c>
      <c r="F10" s="7">
        <f>AVERAGEIF('Service Adoption'!$B$5:$B$52,A10,'Service Adoption'!$I$5:$I$52)</f>
        <v>0.87</v>
      </c>
    </row>
    <row r="11" spans="1:6" x14ac:dyDescent="0.35">
      <c r="A11" s="5" t="s">
        <v>27</v>
      </c>
      <c r="B11" s="6">
        <f>SUMIF('Service Adoption'!$B$5:$B$52,A11,'Service Adoption'!$E$5:$E$52)</f>
        <v>7740</v>
      </c>
      <c r="C11" s="6">
        <f>SUMIF('Service Adoption'!$B$5:$B$52,A11,'Service Adoption'!$F$5:$F$52)</f>
        <v>7051</v>
      </c>
      <c r="D11" s="7">
        <f t="shared" si="0"/>
        <v>0.91098191214470281</v>
      </c>
      <c r="E11" s="8">
        <f>AVERAGEIF('Service Adoption'!$B$5:$B$52,A11,'Service Adoption'!$H$5:$H$52)</f>
        <v>5.6999999999999993</v>
      </c>
      <c r="F11" s="7">
        <f>AVERAGEIF('Service Adoption'!$B$5:$B$52,A11,'Service Adoption'!$I$5:$I$52)</f>
        <v>0.90999999999999981</v>
      </c>
    </row>
    <row r="12" spans="1:6" x14ac:dyDescent="0.35">
      <c r="A12" s="5" t="s">
        <v>29</v>
      </c>
      <c r="B12" s="6">
        <f>SUMIF('Service Adoption'!$B$5:$B$52,A12,'Service Adoption'!$E$5:$E$52)</f>
        <v>13545</v>
      </c>
      <c r="C12" s="6">
        <f>SUMIF('Service Adoption'!$B$5:$B$52,A12,'Service Adoption'!$F$5:$F$52)</f>
        <v>11527</v>
      </c>
      <c r="D12" s="7">
        <f t="shared" si="0"/>
        <v>0.85101513473606494</v>
      </c>
      <c r="E12" s="8">
        <f>AVERAGEIF('Service Adoption'!$B$5:$B$52,A12,'Service Adoption'!$H$5:$H$52)</f>
        <v>8.5500000000000007</v>
      </c>
      <c r="F12" s="7">
        <f>AVERAGEIF('Service Adoption'!$B$5:$B$52,A12,'Service Adoption'!$I$5:$I$52)</f>
        <v>0.9</v>
      </c>
    </row>
    <row r="13" spans="1:6" x14ac:dyDescent="0.35">
      <c r="A13" s="9" t="s">
        <v>35</v>
      </c>
      <c r="B13" s="10">
        <f>SUM(B5:B12)</f>
        <v>260580</v>
      </c>
      <c r="C13" s="10">
        <f>SUM(C5:C12)</f>
        <v>228747</v>
      </c>
      <c r="D13" s="11">
        <f t="shared" si="0"/>
        <v>0.87783790006907669</v>
      </c>
      <c r="E13" s="12">
        <f>AVERAGE(E5:E12)</f>
        <v>17.21875</v>
      </c>
      <c r="F13" s="11">
        <f>AVERAGE(F5:F12)</f>
        <v>0.88875000000000004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Adoption</vt:lpstr>
      <vt:lpstr>Service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Lootah</cp:lastModifiedBy>
  <dcterms:created xsi:type="dcterms:W3CDTF">2026-07-14T09:18:07Z</dcterms:created>
  <dcterms:modified xsi:type="dcterms:W3CDTF">2026-07-14T09:47:43Z</dcterms:modified>
</cp:coreProperties>
</file>