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ootahmai\Downloads\"/>
    </mc:Choice>
  </mc:AlternateContent>
  <xr:revisionPtr revIDLastSave="0" documentId="13_ncr:101_{43C0A21D-9804-45EE-AE93-CB9E3B84378B}" xr6:coauthVersionLast="47" xr6:coauthVersionMax="47" xr10:uidLastSave="{00000000-0000-0000-0000-000000000000}"/>
  <bookViews>
    <workbookView xWindow="-110" yWindow="-110" windowWidth="23260" windowHeight="14860" tabRatio="500" xr2:uid="{00000000-000D-0000-FFFF-FFFF00000000}"/>
  </bookViews>
  <sheets>
    <sheet name="Annual Impact" sheetId="1" r:id="rId1"/>
    <sheet name="Sector Breakdown 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2" l="1"/>
  <c r="C11" i="2"/>
  <c r="B11" i="2"/>
  <c r="E10" i="2"/>
  <c r="E8" i="2"/>
  <c r="E7" i="2"/>
  <c r="E5" i="2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E11" i="2" l="1"/>
  <c r="E9" i="2"/>
  <c r="E6" i="2"/>
</calcChain>
</file>

<file path=xl/sharedStrings.xml><?xml version="1.0" encoding="utf-8"?>
<sst xmlns="http://schemas.openxmlformats.org/spreadsheetml/2006/main" count="43" uniqueCount="41">
  <si>
    <t>Sharjah Digital Department — Digital Transformation Impact KPIs</t>
  </si>
  <si>
    <t>Illustrative synthetic data for a Microsoft 365 Copilot demo — not official SDD figures. FY2022–FY2025.</t>
  </si>
  <si>
    <t>KPI</t>
  </si>
  <si>
    <t>Unit</t>
  </si>
  <si>
    <t>2022</t>
  </si>
  <si>
    <t>2023</t>
  </si>
  <si>
    <t>2024</t>
  </si>
  <si>
    <t>2025</t>
  </si>
  <si>
    <t>4-Yr Total</t>
  </si>
  <si>
    <t>2022→2025 Growth</t>
  </si>
  <si>
    <t>Government Savings</t>
  </si>
  <si>
    <t>AED millions</t>
  </si>
  <si>
    <t>Working Hours Saved</t>
  </si>
  <si>
    <t>Thousands</t>
  </si>
  <si>
    <t>Stakeholder Savings</t>
  </si>
  <si>
    <t>AED thousands</t>
  </si>
  <si>
    <t>Stakeholder Hours Saved</t>
  </si>
  <si>
    <t>CO₂ Emissions Avoided</t>
  </si>
  <si>
    <t>Tonnes</t>
  </si>
  <si>
    <t>Paper Sheets Saved</t>
  </si>
  <si>
    <t>Millions</t>
  </si>
  <si>
    <t>Entities on Digital Network</t>
  </si>
  <si>
    <t>Count</t>
  </si>
  <si>
    <t>Digital Services Provided</t>
  </si>
  <si>
    <t>Digital Adoption Rate</t>
  </si>
  <si>
    <t>%</t>
  </si>
  <si>
    <t>Note: '4-Yr Total' sums annual flows; for level metrics (adoption rate, entity/service counts) read the 2025 column as the latest value.</t>
  </si>
  <si>
    <t>2025 Digital Impact by Government Sector</t>
  </si>
  <si>
    <t>Illustrative synthetic split of 2025 digital transactions and savings.</t>
  </si>
  <si>
    <t>Sector</t>
  </si>
  <si>
    <t>Digital Transactions</t>
  </si>
  <si>
    <t>Hours Saved (000s)</t>
  </si>
  <si>
    <t>Savings (AED 000s)</t>
  </si>
  <si>
    <t>% of Transactions</t>
  </si>
  <si>
    <t>Transport &amp; Traffic</t>
  </si>
  <si>
    <t>Utilities</t>
  </si>
  <si>
    <t>Real Estate</t>
  </si>
  <si>
    <t>Health</t>
  </si>
  <si>
    <t>Business Licensing</t>
  </si>
  <si>
    <t>Social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</si>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</sst>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5"/>
      <color rgb="FFA3122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C162D"/>
        <bgColor rgb="FFA31224"/>
      </patternFill>
    </fill>
    <fill>
      <patternFill patternType="solid">
        <fgColor rgb="FFFCE6E9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/>
    <xf numFmtId="164" fontId="4" fillId="0" borderId="1" xfId="0" applyNumberFormat="1" applyFon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164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162D"/>
      <rgbColor rgb="FF00FF00"/>
      <rgbColor rgb="FF0000FF"/>
      <rgbColor rgb="FFFFFF00"/>
      <rgbColor rgb="FFFF00FF"/>
      <rgbColor rgb="FF00FFFF"/>
      <rgbColor rgb="FFA3122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6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1" sqref="G11"/>
    </sheetView>
  </sheetViews>
  <sheetFormatPr defaultColWidth="8.6328125" defaultRowHeight="14.5" x14ac:dyDescent="0.35"/>
  <cols>
    <col min="1" max="1" width="26" customWidth="1"/>
    <col min="2" max="2" width="14" customWidth="1"/>
    <col min="3" max="6" width="10" customWidth="1"/>
    <col min="7" max="7" width="12" customWidth="1"/>
    <col min="8" max="8" width="18" customWidth="1"/>
  </cols>
  <sheetData>
    <row r="1" spans="1:8" ht="19" x14ac:dyDescent="0.4">
      <c r="A1" s="1" t="s">
        <v>0</v>
      </c>
    </row>
    <row r="2" spans="1:8" x14ac:dyDescent="0.35">
      <c r="A2" s="2" t="s">
        <v>1</v>
      </c>
    </row>
    <row r="4" spans="1: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5">
      <c r="A5" s="4" t="s">
        <v>10</v>
      </c>
      <c r="B5" s="4" t="s">
        <v>11</v>
      </c>
      <c r="C5" s="5">
        <v>45</v>
      </c>
      <c r="D5" s="5">
        <v>70</v>
      </c>
      <c r="E5" s="5">
        <v>135</v>
      </c>
      <c r="F5" s="5">
        <v>190</v>
      </c>
      <c r="G5" s="5">
        <f t="shared" ref="G5:G13" si="0">SUM(C5:F5)</f>
        <v>440</v>
      </c>
      <c r="H5" s="6">
        <f t="shared" ref="H5:H13" si="1">(F5-C5)/C5</f>
        <v>3.2222222222222223</v>
      </c>
    </row>
    <row r="6" spans="1:8" x14ac:dyDescent="0.35">
      <c r="A6" s="4" t="s">
        <v>12</v>
      </c>
      <c r="B6" s="4" t="s">
        <v>13</v>
      </c>
      <c r="C6" s="5">
        <v>220</v>
      </c>
      <c r="D6" s="5">
        <v>360</v>
      </c>
      <c r="E6" s="5">
        <v>620</v>
      </c>
      <c r="F6" s="5">
        <v>850</v>
      </c>
      <c r="G6" s="5">
        <f t="shared" si="0"/>
        <v>2050</v>
      </c>
      <c r="H6" s="6">
        <f t="shared" si="1"/>
        <v>2.8636363636363638</v>
      </c>
    </row>
    <row r="7" spans="1:8" x14ac:dyDescent="0.35">
      <c r="A7" s="4" t="s">
        <v>14</v>
      </c>
      <c r="B7" s="4" t="s">
        <v>15</v>
      </c>
      <c r="C7" s="5">
        <v>180</v>
      </c>
      <c r="D7" s="5">
        <v>300</v>
      </c>
      <c r="E7" s="5">
        <v>520</v>
      </c>
      <c r="F7" s="5">
        <v>700</v>
      </c>
      <c r="G7" s="5">
        <f t="shared" si="0"/>
        <v>1700</v>
      </c>
      <c r="H7" s="6">
        <f t="shared" si="1"/>
        <v>2.8888888888888888</v>
      </c>
    </row>
    <row r="8" spans="1:8" x14ac:dyDescent="0.35">
      <c r="A8" s="4" t="s">
        <v>16</v>
      </c>
      <c r="B8" s="4" t="s">
        <v>13</v>
      </c>
      <c r="C8" s="5">
        <v>15</v>
      </c>
      <c r="D8" s="5">
        <v>24</v>
      </c>
      <c r="E8" s="5">
        <v>40</v>
      </c>
      <c r="F8" s="5">
        <v>55</v>
      </c>
      <c r="G8" s="5">
        <f t="shared" si="0"/>
        <v>134</v>
      </c>
      <c r="H8" s="6">
        <f t="shared" si="1"/>
        <v>2.6666666666666665</v>
      </c>
    </row>
    <row r="9" spans="1:8" x14ac:dyDescent="0.35">
      <c r="A9" s="4" t="s">
        <v>17</v>
      </c>
      <c r="B9" s="4" t="s">
        <v>18</v>
      </c>
      <c r="C9" s="5">
        <v>3000</v>
      </c>
      <c r="D9" s="5">
        <v>4500</v>
      </c>
      <c r="E9" s="5">
        <v>7500</v>
      </c>
      <c r="F9" s="5">
        <v>10500</v>
      </c>
      <c r="G9" s="5">
        <f t="shared" si="0"/>
        <v>25500</v>
      </c>
      <c r="H9" s="6">
        <f t="shared" si="1"/>
        <v>2.5</v>
      </c>
    </row>
    <row r="10" spans="1:8" x14ac:dyDescent="0.35">
      <c r="A10" s="4" t="s">
        <v>19</v>
      </c>
      <c r="B10" s="4" t="s">
        <v>20</v>
      </c>
      <c r="C10" s="5">
        <v>60</v>
      </c>
      <c r="D10" s="5">
        <v>95</v>
      </c>
      <c r="E10" s="5">
        <v>181</v>
      </c>
      <c r="F10" s="5">
        <v>336</v>
      </c>
      <c r="G10" s="5">
        <f t="shared" si="0"/>
        <v>672</v>
      </c>
      <c r="H10" s="6">
        <f t="shared" si="1"/>
        <v>4.5999999999999996</v>
      </c>
    </row>
    <row r="11" spans="1:8" x14ac:dyDescent="0.35">
      <c r="A11" s="4" t="s">
        <v>21</v>
      </c>
      <c r="B11" s="4" t="s">
        <v>22</v>
      </c>
      <c r="C11" s="5">
        <v>28</v>
      </c>
      <c r="D11" s="5">
        <v>42</v>
      </c>
      <c r="E11" s="5">
        <v>58</v>
      </c>
      <c r="F11" s="5">
        <v>69</v>
      </c>
      <c r="G11" s="5">
        <f t="shared" si="0"/>
        <v>197</v>
      </c>
      <c r="H11" s="6">
        <f t="shared" si="1"/>
        <v>1.4642857142857142</v>
      </c>
    </row>
    <row r="12" spans="1:8" x14ac:dyDescent="0.35">
      <c r="A12" s="4" t="s">
        <v>23</v>
      </c>
      <c r="B12" s="4" t="s">
        <v>22</v>
      </c>
      <c r="C12" s="5">
        <v>8</v>
      </c>
      <c r="D12" s="5">
        <v>13</v>
      </c>
      <c r="E12" s="5">
        <v>18</v>
      </c>
      <c r="F12" s="5">
        <v>21</v>
      </c>
      <c r="G12" s="5">
        <f t="shared" si="0"/>
        <v>60</v>
      </c>
      <c r="H12" s="6">
        <f t="shared" si="1"/>
        <v>1.625</v>
      </c>
    </row>
    <row r="13" spans="1:8" x14ac:dyDescent="0.35">
      <c r="A13" s="4" t="s">
        <v>24</v>
      </c>
      <c r="B13" s="4" t="s">
        <v>25</v>
      </c>
      <c r="C13" s="6">
        <v>0.61</v>
      </c>
      <c r="D13" s="6">
        <v>0.72</v>
      </c>
      <c r="E13" s="6">
        <v>0.84</v>
      </c>
      <c r="F13" s="6">
        <v>0.91</v>
      </c>
      <c r="G13" s="6">
        <f t="shared" si="0"/>
        <v>3.08</v>
      </c>
      <c r="H13" s="6">
        <f t="shared" si="1"/>
        <v>0.49180327868852469</v>
      </c>
    </row>
    <row r="15" spans="1:8" x14ac:dyDescent="0.35">
      <c r="A15" s="2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4" width="20" customWidth="1"/>
    <col min="5" max="5" width="18" customWidth="1"/>
  </cols>
  <sheetData>
    <row r="1" spans="1:5" ht="19" x14ac:dyDescent="0.4">
      <c r="A1" s="1" t="s">
        <v>27</v>
      </c>
    </row>
    <row r="2" spans="1:5" x14ac:dyDescent="0.35">
      <c r="A2" s="2" t="s">
        <v>28</v>
      </c>
    </row>
    <row r="4" spans="1:5" x14ac:dyDescent="0.3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</row>
    <row r="5" spans="1:5" x14ac:dyDescent="0.35">
      <c r="A5" s="4" t="s">
        <v>34</v>
      </c>
      <c r="B5" s="7">
        <v>412000</v>
      </c>
      <c r="C5" s="7">
        <v>190</v>
      </c>
      <c r="D5" s="7">
        <v>38000</v>
      </c>
      <c r="E5" s="8">
        <f t="shared" ref="E5:E10" si="0">B5/$B$11</f>
        <v>0.26258763543658381</v>
      </c>
    </row>
    <row r="6" spans="1:5" x14ac:dyDescent="0.35">
      <c r="A6" s="4" t="s">
        <v>35</v>
      </c>
      <c r="B6" s="7">
        <v>538000</v>
      </c>
      <c r="C6" s="7">
        <v>240</v>
      </c>
      <c r="D6" s="7">
        <v>47000</v>
      </c>
      <c r="E6" s="8">
        <f t="shared" si="0"/>
        <v>0.34289356277884003</v>
      </c>
    </row>
    <row r="7" spans="1:5" x14ac:dyDescent="0.35">
      <c r="A7" s="4" t="s">
        <v>36</v>
      </c>
      <c r="B7" s="7">
        <v>146000</v>
      </c>
      <c r="C7" s="7">
        <v>95</v>
      </c>
      <c r="D7" s="7">
        <v>21000</v>
      </c>
      <c r="E7" s="8">
        <f t="shared" si="0"/>
        <v>9.3052899936265143E-2</v>
      </c>
    </row>
    <row r="8" spans="1:5" x14ac:dyDescent="0.35">
      <c r="A8" s="4" t="s">
        <v>37</v>
      </c>
      <c r="B8" s="7">
        <v>203000</v>
      </c>
      <c r="C8" s="7">
        <v>120</v>
      </c>
      <c r="D8" s="7">
        <v>26000</v>
      </c>
      <c r="E8" s="8">
        <f t="shared" si="0"/>
        <v>0.12938177182919056</v>
      </c>
    </row>
    <row r="9" spans="1:5" x14ac:dyDescent="0.35">
      <c r="A9" s="4" t="s">
        <v>38</v>
      </c>
      <c r="B9" s="7">
        <v>178000</v>
      </c>
      <c r="C9" s="7">
        <v>110</v>
      </c>
      <c r="D9" s="7">
        <v>33000</v>
      </c>
      <c r="E9" s="8">
        <f t="shared" si="0"/>
        <v>0.11344805608667942</v>
      </c>
    </row>
    <row r="10" spans="1:5" x14ac:dyDescent="0.35">
      <c r="A10" s="4" t="s">
        <v>39</v>
      </c>
      <c r="B10" s="7">
        <v>92000</v>
      </c>
      <c r="C10" s="7">
        <v>80</v>
      </c>
      <c r="D10" s="7">
        <v>15000</v>
      </c>
      <c r="E10" s="8">
        <f t="shared" si="0"/>
        <v>5.8636073932441045E-2</v>
      </c>
    </row>
    <row r="11" spans="1:5" x14ac:dyDescent="0.35">
      <c r="A11" s="9" t="s">
        <v>40</v>
      </c>
      <c r="B11" s="10">
        <f>SUM(B5:B10)</f>
        <v>1569000</v>
      </c>
      <c r="C11" s="10">
        <f>SUM(C5:C10)</f>
        <v>835</v>
      </c>
      <c r="D11" s="10">
        <f>SUM(D5:D10)</f>
        <v>180000</v>
      </c>
      <c r="E11" s="11">
        <f>B11/B11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Impact</vt:lpstr>
      <vt:lpstr>Sector Breakdown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Mai Lootah</cp:lastModifiedBy>
  <cp:revision>0</cp:revision>
  <dcterms:created xsi:type="dcterms:W3CDTF">2026-07-14T09:18:07Z</dcterms:created>
  <dcterms:modified xsi:type="dcterms:W3CDTF">2026-07-14T09:47:09Z</dcterms:modified>
  <dc:language>en-US</dc:language>
</cp:coreProperties>
</file>